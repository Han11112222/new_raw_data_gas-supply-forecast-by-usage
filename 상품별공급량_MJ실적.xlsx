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공급량판매량패턴분석\"/>
    </mc:Choice>
  </mc:AlternateContent>
  <xr:revisionPtr revIDLastSave="0" documentId="8_{A85B5B6D-A7DC-4E6E-9014-5926CE453512}" xr6:coauthVersionLast="47" xr6:coauthVersionMax="47" xr10:uidLastSave="{00000000-0000-0000-0000-000000000000}"/>
  <bookViews>
    <workbookView xWindow="-120" yWindow="-120" windowWidth="29040" windowHeight="15720" xr2:uid="{088CFC13-C694-4E44-B6D5-0A510AB09C30}"/>
  </bookViews>
  <sheets>
    <sheet name="공급량_실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09" i="1" l="1"/>
  <c r="Y109" i="1" s="1"/>
  <c r="X108" i="1"/>
  <c r="Y108" i="1" s="1"/>
  <c r="X107" i="1"/>
  <c r="Y107" i="1" s="1"/>
  <c r="X106" i="1"/>
  <c r="Y106" i="1" s="1"/>
  <c r="X105" i="1"/>
  <c r="Y105" i="1" s="1"/>
  <c r="X104" i="1"/>
  <c r="Y104" i="1" s="1"/>
  <c r="X103" i="1"/>
  <c r="Y103" i="1" s="1"/>
  <c r="X102" i="1"/>
  <c r="Y102" i="1" s="1"/>
  <c r="X101" i="1"/>
  <c r="Y101" i="1" s="1"/>
  <c r="X100" i="1"/>
  <c r="Y100" i="1" s="1"/>
  <c r="X99" i="1"/>
  <c r="Y99" i="1" s="1"/>
  <c r="X98" i="1"/>
  <c r="Y98" i="1" s="1"/>
  <c r="X97" i="1"/>
  <c r="Y97" i="1" s="1"/>
  <c r="X96" i="1"/>
  <c r="Y96" i="1" s="1"/>
  <c r="X95" i="1"/>
  <c r="Y95" i="1" s="1"/>
  <c r="X94" i="1"/>
  <c r="Y94" i="1" s="1"/>
  <c r="X93" i="1"/>
  <c r="Y93" i="1" s="1"/>
  <c r="X92" i="1"/>
  <c r="Y92" i="1" s="1"/>
  <c r="X91" i="1"/>
  <c r="Y91" i="1" s="1"/>
  <c r="X90" i="1"/>
  <c r="Y90" i="1" s="1"/>
  <c r="X89" i="1"/>
  <c r="Y89" i="1" s="1"/>
  <c r="X88" i="1"/>
  <c r="Y88" i="1" s="1"/>
  <c r="X87" i="1"/>
  <c r="Y87" i="1" s="1"/>
  <c r="X86" i="1"/>
  <c r="Y86" i="1" s="1"/>
  <c r="X85" i="1"/>
  <c r="Y85" i="1" s="1"/>
  <c r="X84" i="1"/>
  <c r="Y84" i="1" s="1"/>
  <c r="X83" i="1"/>
  <c r="Y83" i="1" s="1"/>
  <c r="X82" i="1"/>
  <c r="Y82" i="1" s="1"/>
  <c r="X81" i="1"/>
  <c r="Y81" i="1" s="1"/>
  <c r="X80" i="1"/>
  <c r="Y80" i="1" s="1"/>
  <c r="X79" i="1"/>
  <c r="Y79" i="1" s="1"/>
  <c r="X78" i="1"/>
  <c r="Y78" i="1" s="1"/>
  <c r="X77" i="1"/>
  <c r="Y77" i="1" s="1"/>
  <c r="X76" i="1"/>
  <c r="Y76" i="1" s="1"/>
  <c r="X75" i="1"/>
  <c r="Y75" i="1" s="1"/>
  <c r="X74" i="1"/>
  <c r="Y74" i="1" s="1"/>
  <c r="X73" i="1"/>
  <c r="Y73" i="1" s="1"/>
  <c r="X72" i="1"/>
  <c r="Y72" i="1" s="1"/>
  <c r="X71" i="1"/>
  <c r="Y71" i="1" s="1"/>
  <c r="X70" i="1"/>
  <c r="Y70" i="1" s="1"/>
  <c r="X69" i="1"/>
  <c r="Y69" i="1" s="1"/>
  <c r="X68" i="1"/>
  <c r="Y68" i="1" s="1"/>
  <c r="X67" i="1"/>
  <c r="Y67" i="1" s="1"/>
  <c r="X66" i="1"/>
  <c r="Y66" i="1" s="1"/>
  <c r="X65" i="1"/>
  <c r="Y65" i="1" s="1"/>
  <c r="X64" i="1"/>
  <c r="Y64" i="1" s="1"/>
  <c r="X63" i="1"/>
  <c r="Y63" i="1" s="1"/>
  <c r="X62" i="1"/>
  <c r="Y62" i="1" s="1"/>
  <c r="X61" i="1"/>
  <c r="Y61" i="1" s="1"/>
  <c r="X60" i="1"/>
  <c r="Y60" i="1" s="1"/>
  <c r="X59" i="1"/>
  <c r="Y59" i="1" s="1"/>
  <c r="X58" i="1"/>
  <c r="Y58" i="1" s="1"/>
  <c r="X57" i="1"/>
  <c r="Y57" i="1" s="1"/>
  <c r="X56" i="1"/>
  <c r="Y56" i="1" s="1"/>
  <c r="X55" i="1"/>
  <c r="Y55" i="1" s="1"/>
  <c r="X54" i="1"/>
  <c r="Y54" i="1" s="1"/>
  <c r="X53" i="1"/>
  <c r="Y53" i="1" s="1"/>
  <c r="X52" i="1"/>
  <c r="Y52" i="1" s="1"/>
  <c r="X51" i="1"/>
  <c r="Y51" i="1" s="1"/>
  <c r="X50" i="1"/>
  <c r="Y50" i="1" s="1"/>
  <c r="X49" i="1"/>
  <c r="Y49" i="1" s="1"/>
  <c r="X48" i="1"/>
  <c r="Y48" i="1" s="1"/>
  <c r="X47" i="1"/>
  <c r="Y47" i="1" s="1"/>
  <c r="X46" i="1"/>
  <c r="Y46" i="1" s="1"/>
  <c r="X45" i="1"/>
  <c r="Y45" i="1" s="1"/>
  <c r="X44" i="1"/>
  <c r="Y44" i="1" s="1"/>
  <c r="X43" i="1"/>
  <c r="Y43" i="1" s="1"/>
  <c r="X42" i="1"/>
  <c r="Y42" i="1" s="1"/>
  <c r="X41" i="1"/>
  <c r="Y41" i="1" s="1"/>
  <c r="X40" i="1"/>
  <c r="Y40" i="1" s="1"/>
  <c r="X39" i="1"/>
  <c r="Y39" i="1" s="1"/>
  <c r="X38" i="1"/>
  <c r="Y38" i="1" s="1"/>
  <c r="X37" i="1"/>
  <c r="Y37" i="1" s="1"/>
  <c r="X36" i="1"/>
  <c r="Y36" i="1" s="1"/>
  <c r="X35" i="1"/>
  <c r="Y35" i="1" s="1"/>
  <c r="X34" i="1"/>
  <c r="Y34" i="1" s="1"/>
  <c r="X33" i="1"/>
  <c r="Y33" i="1" s="1"/>
  <c r="X32" i="1"/>
  <c r="Y32" i="1" s="1"/>
  <c r="X31" i="1"/>
  <c r="Y31" i="1" s="1"/>
  <c r="X30" i="1"/>
  <c r="Y30" i="1" s="1"/>
  <c r="X29" i="1"/>
  <c r="Y29" i="1" s="1"/>
  <c r="X28" i="1"/>
  <c r="Y28" i="1" s="1"/>
  <c r="X27" i="1"/>
  <c r="Y27" i="1" s="1"/>
  <c r="X26" i="1"/>
  <c r="Y26" i="1" s="1"/>
  <c r="X25" i="1"/>
  <c r="Y25" i="1" s="1"/>
  <c r="X24" i="1"/>
  <c r="Y24" i="1" s="1"/>
  <c r="X23" i="1"/>
  <c r="Y23" i="1" s="1"/>
  <c r="X22" i="1"/>
  <c r="Y22" i="1" s="1"/>
  <c r="X21" i="1"/>
  <c r="Y21" i="1" s="1"/>
  <c r="X20" i="1"/>
  <c r="Y20" i="1" s="1"/>
  <c r="X19" i="1"/>
  <c r="Y19" i="1" s="1"/>
  <c r="X18" i="1"/>
  <c r="Y18" i="1" s="1"/>
  <c r="X17" i="1"/>
  <c r="Y17" i="1" s="1"/>
  <c r="X16" i="1"/>
  <c r="Y16" i="1" s="1"/>
  <c r="X15" i="1"/>
  <c r="Y15" i="1" s="1"/>
  <c r="X14" i="1"/>
  <c r="Y14" i="1" s="1"/>
  <c r="X13" i="1"/>
  <c r="Y13" i="1" s="1"/>
  <c r="X12" i="1"/>
  <c r="Y12" i="1" s="1"/>
  <c r="X11" i="1"/>
  <c r="Y11" i="1" s="1"/>
  <c r="X10" i="1"/>
  <c r="Y10" i="1" s="1"/>
  <c r="X9" i="1"/>
  <c r="Y9" i="1" s="1"/>
  <c r="X8" i="1"/>
  <c r="Y8" i="1" s="1"/>
  <c r="X7" i="1"/>
  <c r="Y7" i="1" s="1"/>
  <c r="X6" i="1"/>
  <c r="Y6" i="1" s="1"/>
  <c r="X5" i="1"/>
  <c r="Y5" i="1" s="1"/>
  <c r="X4" i="1"/>
  <c r="Y4" i="1" s="1"/>
  <c r="X3" i="1"/>
  <c r="Y3" i="1" s="1"/>
  <c r="X2" i="1"/>
  <c r="Y2" i="1" s="1"/>
</calcChain>
</file>

<file path=xl/sharedStrings.xml><?xml version="1.0" encoding="utf-8"?>
<sst xmlns="http://schemas.openxmlformats.org/spreadsheetml/2006/main" count="25" uniqueCount="25">
  <si>
    <t>날짜</t>
  </si>
  <si>
    <t>연</t>
  </si>
  <si>
    <t>월</t>
  </si>
  <si>
    <t>평균기온</t>
  </si>
  <si>
    <t>취사용</t>
  </si>
  <si>
    <t>개별난방용</t>
  </si>
  <si>
    <t>중앙난방용</t>
  </si>
  <si>
    <t>자가열전용</t>
  </si>
  <si>
    <t>영업용</t>
    <phoneticPr fontId="3" type="noConversion"/>
  </si>
  <si>
    <t>일반용(1)</t>
    <phoneticPr fontId="3" type="noConversion"/>
  </si>
  <si>
    <t>일반용(2)</t>
  </si>
  <si>
    <t>업무난방용</t>
  </si>
  <si>
    <t>냉난방용</t>
  </si>
  <si>
    <t>산업용</t>
  </si>
  <si>
    <t>수송용(CNG)</t>
  </si>
  <si>
    <t>수송용(BIO)</t>
  </si>
  <si>
    <t>열병합용</t>
  </si>
  <si>
    <t>연료전지용</t>
  </si>
  <si>
    <t>열전용설비용(주택외)</t>
  </si>
  <si>
    <t>주한미군</t>
  </si>
  <si>
    <t>일반용1(영업)</t>
  </si>
  <si>
    <t>일반용1(업무)</t>
  </si>
  <si>
    <t>총공급량</t>
  </si>
  <si>
    <t>총합계</t>
  </si>
  <si>
    <t>비교(V-W)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</si>
</sst>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5" tint="-0.499984740745262"/>
      <name val="맑은 고딕"/>
      <family val="2"/>
      <charset val="129"/>
      <scheme val="minor"/>
    </font>
    <font>
      <sz val="9"/>
      <color theme="5" tint="-0.49998474074526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4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1" fontId="2" fillId="0" borderId="0" xfId="1" applyFont="1">
      <alignment vertical="center"/>
    </xf>
    <xf numFmtId="41" fontId="6" fillId="0" borderId="0" xfId="1" applyFont="1">
      <alignment vertical="center"/>
    </xf>
    <xf numFmtId="41" fontId="2" fillId="0" borderId="0" xfId="1" applyFont="1" applyFill="1">
      <alignment vertical="center"/>
    </xf>
    <xf numFmtId="41" fontId="6" fillId="0" borderId="0" xfId="1" applyFont="1" applyFill="1">
      <alignment vertical="center"/>
    </xf>
    <xf numFmtId="14" fontId="6" fillId="0" borderId="0" xfId="0" applyNumberFormat="1" applyFont="1">
      <alignment vertical="center"/>
    </xf>
    <xf numFmtId="0" fontId="6" fillId="0" borderId="0" xfId="0" applyFont="1">
      <alignment vertical="center"/>
    </xf>
    <xf numFmtId="41" fontId="6" fillId="0" borderId="0" xfId="0" applyNumberFormat="1" applyFont="1">
      <alignment vertical="center"/>
    </xf>
    <xf numFmtId="14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27"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E8E6F8-48BB-4128-A3DD-161A371A717E}" name="표1" displayName="표1" ref="A1:Y109" totalsRowShown="0" headerRowDxfId="26" dataDxfId="25">
  <tableColumns count="25">
    <tableColumn id="1" xr3:uid="{C8097C29-C1C6-4C2E-86F4-AC2E8F1476CD}" name="날짜" dataDxfId="24"/>
    <tableColumn id="2" xr3:uid="{5794734F-4A5E-4F45-9C31-E44B2EA2F44D}" name="연" dataDxfId="23"/>
    <tableColumn id="3" xr3:uid="{243DC961-0B29-4755-8278-DA0125126BB2}" name="월" dataDxfId="22"/>
    <tableColumn id="4" xr3:uid="{8DFD0A73-C75E-4C64-8A43-DE11799ED1B0}" name="평균기온" dataDxfId="21"/>
    <tableColumn id="7" xr3:uid="{0ADD0A9B-0029-46BE-A498-535FF0FF1C0E}" name="취사용" dataDxfId="20"/>
    <tableColumn id="5" xr3:uid="{772B4932-84E7-41CE-AC81-E4AEBB4A8BDE}" name="개별난방용" dataDxfId="19"/>
    <tableColumn id="6" xr3:uid="{9A346A17-D03F-4A58-8236-ECB851A8A6A7}" name="중앙난방용" dataDxfId="18"/>
    <tableColumn id="19" xr3:uid="{74E118ED-EF94-4DB4-AF82-577906EACE41}" name="자가열전용" dataDxfId="17"/>
    <tableColumn id="8" xr3:uid="{61E97D15-7905-450F-ACF1-938A6B55B0B3}" name="영업용" dataDxfId="16"/>
    <tableColumn id="9" xr3:uid="{EB7BE815-959B-43D3-8F1B-250E96A5E6DE}" name="일반용(1)" dataDxfId="15"/>
    <tableColumn id="12" xr3:uid="{B38AB973-322A-44A2-ADB9-34421E7928C6}" name="일반용(2)" dataDxfId="14"/>
    <tableColumn id="13" xr3:uid="{9BD424F1-A7E9-45C9-B366-5B6775981FFB}" name="업무난방용" dataDxfId="13"/>
    <tableColumn id="16" xr3:uid="{11CBC3AE-1C3B-47B6-8CA7-0AA779A97484}" name="냉난방용" dataDxfId="12"/>
    <tableColumn id="15" xr3:uid="{8C199F01-2935-42D6-9883-FB15037B89FA}" name="산업용" dataDxfId="11"/>
    <tableColumn id="22" xr3:uid="{3DF5280A-EABB-4F71-A05C-52823E209F37}" name="수송용(CNG)" dataDxfId="10"/>
    <tableColumn id="21" xr3:uid="{46F0882A-2EEE-45D8-B064-FA6D7CD13468}" name="수송용(BIO)" dataDxfId="9"/>
    <tableColumn id="17" xr3:uid="{0476B939-F7E9-4702-B11B-1EDB33090842}" name="열병합용" dataDxfId="8"/>
    <tableColumn id="18" xr3:uid="{6E0AC6B8-6A1A-43B0-9310-DDEFEB2BC521}" name="연료전지용" dataDxfId="7"/>
    <tableColumn id="20" xr3:uid="{B0A467D2-A086-4F5B-9B0D-7659E24A1F8D}" name="열전용설비용(주택외)" dataDxfId="6"/>
    <tableColumn id="14" xr3:uid="{FF11017B-55D1-4AC0-B4D0-50E99305B0F8}" name="주한미군" dataDxfId="5"/>
    <tableColumn id="11" xr3:uid="{E57B9A3C-421F-4D97-899A-BCB7D194F1D2}" name="일반용1(영업)" dataDxfId="4"/>
    <tableColumn id="10" xr3:uid="{FB234ADD-7E4D-4B3D-ADF8-BC79AD3B9CD3}" name="일반용1(업무)" dataDxfId="3"/>
    <tableColumn id="23" xr3:uid="{D096608C-F0F6-4018-9130-97259A5E6675}" name="총공급량" dataDxfId="2"/>
    <tableColumn id="24" xr3:uid="{E6C0CAEE-1BBC-456C-B4EA-EFF091D3E786}" name="총합계" dataDxfId="1">
      <calculatedColumnFormula>SUM(표1[[#This Row],[취사용]:[주한미군]])</calculatedColumnFormula>
    </tableColumn>
    <tableColumn id="25" xr3:uid="{040CFE38-2D6B-4218-BD31-C6C14E2DF865}" name="비교(V-W)" dataDxfId="0">
      <calculatedColumnFormula>W2-X2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AACF-8037-40A2-A9A7-0B722216F319}">
  <dimension ref="A1:AJ109"/>
  <sheetViews>
    <sheetView tabSelected="1" workbookViewId="0">
      <pane xSplit="3" ySplit="1" topLeftCell="D86" activePane="bottomRight" state="frozen"/>
      <selection pane="topRight" activeCell="D1" sqref="D1"/>
      <selection pane="bottomLeft" activeCell="A2" sqref="A2"/>
      <selection pane="bottomRight" activeCell="G111" sqref="G111"/>
    </sheetView>
  </sheetViews>
  <sheetFormatPr defaultRowHeight="16.5" x14ac:dyDescent="0.3"/>
  <cols>
    <col min="1" max="1" width="9.75" style="1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0.5" customWidth="1"/>
    <col min="10" max="10" width="12.875" bestFit="1" customWidth="1"/>
    <col min="11" max="12" width="11.5" bestFit="1" customWidth="1"/>
    <col min="13" max="13" width="13" bestFit="1" customWidth="1"/>
    <col min="14" max="14" width="12.875" bestFit="1" customWidth="1"/>
    <col min="15" max="15" width="11.5" bestFit="1" customWidth="1"/>
    <col min="16" max="16" width="12.875" bestFit="1" customWidth="1"/>
    <col min="17" max="18" width="10.5" bestFit="1" customWidth="1"/>
    <col min="19" max="20" width="11.5" bestFit="1" customWidth="1"/>
    <col min="21" max="21" width="12.875" bestFit="1" customWidth="1"/>
    <col min="22" max="22" width="13" bestFit="1" customWidth="1"/>
    <col min="23" max="25" width="12.875" bestFit="1" customWidth="1"/>
    <col min="27" max="28" width="11" bestFit="1" customWidth="1"/>
    <col min="29" max="29" width="13.625" customWidth="1"/>
    <col min="30" max="30" width="14.125" customWidth="1"/>
    <col min="31" max="31" width="18.625" bestFit="1" customWidth="1"/>
    <col min="32" max="32" width="11.625" bestFit="1" customWidth="1"/>
    <col min="33" max="33" width="12.375" bestFit="1" customWidth="1"/>
    <col min="34" max="35" width="12.875" bestFit="1" customWidth="1"/>
    <col min="36" max="36" width="11.875" style="7" bestFit="1" customWidth="1"/>
  </cols>
  <sheetData>
    <row r="1" spans="1:3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5" t="s">
        <v>20</v>
      </c>
      <c r="V1" s="5" t="s">
        <v>21</v>
      </c>
      <c r="W1" s="3" t="s">
        <v>22</v>
      </c>
      <c r="X1" s="2" t="s">
        <v>23</v>
      </c>
      <c r="Y1" s="6" t="s">
        <v>24</v>
      </c>
      <c r="AJ1"/>
    </row>
    <row r="2" spans="1:36" x14ac:dyDescent="0.3">
      <c r="A2" s="1">
        <v>42736</v>
      </c>
      <c r="B2" s="2">
        <v>2017</v>
      </c>
      <c r="C2" s="2">
        <v>1</v>
      </c>
      <c r="D2" s="2">
        <v>1.1000000000000001</v>
      </c>
      <c r="E2" s="6">
        <v>46245166.286090367</v>
      </c>
      <c r="F2" s="6">
        <v>4384882223.9482002</v>
      </c>
      <c r="G2" s="6">
        <v>159776091.6577996</v>
      </c>
      <c r="H2" s="6">
        <v>89603623.776367232</v>
      </c>
      <c r="I2" s="6">
        <v>128340253</v>
      </c>
      <c r="J2" s="6">
        <v>71790356.596113056</v>
      </c>
      <c r="K2" s="6">
        <v>212963539.11987761</v>
      </c>
      <c r="L2" s="6">
        <v>163367966.3384698</v>
      </c>
      <c r="M2" s="6">
        <v>195529234.90983701</v>
      </c>
      <c r="N2" s="6">
        <v>1056290729.472604</v>
      </c>
      <c r="O2" s="6">
        <v>291001076.81120002</v>
      </c>
      <c r="P2" s="6">
        <v>3169148.2267999998</v>
      </c>
      <c r="Q2" s="6">
        <v>43398110.020846248</v>
      </c>
      <c r="R2" s="6">
        <v>32091501.13399902</v>
      </c>
      <c r="S2" s="6">
        <v>628886.15019596019</v>
      </c>
      <c r="T2" s="6">
        <v>6652225.5515999999</v>
      </c>
      <c r="U2" s="6"/>
      <c r="V2" s="6"/>
      <c r="W2" s="6">
        <v>6885730132</v>
      </c>
      <c r="X2" s="6">
        <f>SUM(표1[[#This Row],[취사용]:[주한미군]])</f>
        <v>6885730133</v>
      </c>
      <c r="Y2" s="7">
        <f t="shared" ref="Y2:Y65" si="0">W2-X2</f>
        <v>-1</v>
      </c>
      <c r="AJ2"/>
    </row>
    <row r="3" spans="1:36" x14ac:dyDescent="0.3">
      <c r="A3" s="1">
        <v>42767</v>
      </c>
      <c r="B3" s="2">
        <v>2017</v>
      </c>
      <c r="C3" s="2">
        <v>2</v>
      </c>
      <c r="D3" s="2">
        <v>3.2</v>
      </c>
      <c r="E3" s="6">
        <v>37451272.180673957</v>
      </c>
      <c r="F3" s="6">
        <v>3533763829.7003932</v>
      </c>
      <c r="G3" s="6">
        <v>141727030.50064459</v>
      </c>
      <c r="H3" s="6">
        <v>74488838.587216347</v>
      </c>
      <c r="I3" s="6">
        <v>129150258</v>
      </c>
      <c r="J3" s="6">
        <v>58596852.367501706</v>
      </c>
      <c r="K3" s="6">
        <v>187797168.18488759</v>
      </c>
      <c r="L3" s="6">
        <v>142881139.5118717</v>
      </c>
      <c r="M3" s="6">
        <v>161641565.99619001</v>
      </c>
      <c r="N3" s="6">
        <v>1036555510.1851211</v>
      </c>
      <c r="O3" s="6">
        <v>273202723.61360002</v>
      </c>
      <c r="P3" s="6">
        <v>6335563.4243000001</v>
      </c>
      <c r="Q3" s="6">
        <v>40839965.590954289</v>
      </c>
      <c r="R3" s="6">
        <v>28016203.453137159</v>
      </c>
      <c r="S3" s="6">
        <v>644220.00540946051</v>
      </c>
      <c r="T3" s="6">
        <v>6566583.6980999997</v>
      </c>
      <c r="U3" s="6"/>
      <c r="V3" s="6"/>
      <c r="W3" s="6">
        <v>5859658726</v>
      </c>
      <c r="X3" s="6">
        <f>SUM(표1[[#This Row],[취사용]:[주한미군]])</f>
        <v>5859658725.000001</v>
      </c>
      <c r="Y3" s="7">
        <f t="shared" si="0"/>
        <v>0.99999904632568359</v>
      </c>
      <c r="AJ3"/>
    </row>
    <row r="4" spans="1:36" x14ac:dyDescent="0.3">
      <c r="A4" s="1">
        <v>42795</v>
      </c>
      <c r="B4" s="2">
        <v>2017</v>
      </c>
      <c r="C4" s="2">
        <v>3</v>
      </c>
      <c r="D4" s="2">
        <v>7.9</v>
      </c>
      <c r="E4" s="6">
        <v>37158488.930497862</v>
      </c>
      <c r="F4" s="6">
        <v>2847496215.7324128</v>
      </c>
      <c r="G4" s="6">
        <v>123228088.5981304</v>
      </c>
      <c r="H4" s="6">
        <v>55309860.047354542</v>
      </c>
      <c r="I4" s="6">
        <v>149933434</v>
      </c>
      <c r="J4" s="6">
        <v>65331740.250822186</v>
      </c>
      <c r="K4" s="6">
        <v>166365142.6734122</v>
      </c>
      <c r="L4" s="6">
        <v>111361782.3584578</v>
      </c>
      <c r="M4" s="6">
        <v>103123518.0738018</v>
      </c>
      <c r="N4" s="6">
        <v>1108730089.9320431</v>
      </c>
      <c r="O4" s="6">
        <v>304441903.31419998</v>
      </c>
      <c r="P4" s="6">
        <v>7786742.6365999999</v>
      </c>
      <c r="Q4" s="6">
        <v>36841086.788226441</v>
      </c>
      <c r="R4" s="6">
        <v>32325873.386023618</v>
      </c>
      <c r="S4" s="6">
        <v>995413.3237172307</v>
      </c>
      <c r="T4" s="6">
        <v>5503223.9543000003</v>
      </c>
      <c r="U4" s="6"/>
      <c r="V4" s="6"/>
      <c r="W4" s="6">
        <v>5155932603</v>
      </c>
      <c r="X4" s="6">
        <f>SUM(표1[[#This Row],[취사용]:[주한미군]])</f>
        <v>5155932603.999999</v>
      </c>
      <c r="Y4" s="7">
        <f t="shared" si="0"/>
        <v>-0.99999904632568359</v>
      </c>
      <c r="AJ4"/>
    </row>
    <row r="5" spans="1:36" x14ac:dyDescent="0.3">
      <c r="A5" s="1">
        <v>42826</v>
      </c>
      <c r="B5" s="2">
        <v>2017</v>
      </c>
      <c r="C5" s="2">
        <v>4</v>
      </c>
      <c r="D5" s="2">
        <v>15.7</v>
      </c>
      <c r="E5" s="6">
        <v>33851648.377755389</v>
      </c>
      <c r="F5" s="6">
        <v>1402835858.8860941</v>
      </c>
      <c r="G5" s="6">
        <v>66753945.081347078</v>
      </c>
      <c r="H5" s="6">
        <v>23762458.592188671</v>
      </c>
      <c r="I5" s="6">
        <v>117848069</v>
      </c>
      <c r="J5" s="6">
        <v>66096251.493257254</v>
      </c>
      <c r="K5" s="6">
        <v>110789695.0560057</v>
      </c>
      <c r="L5" s="6">
        <v>53248180.824018307</v>
      </c>
      <c r="M5" s="6">
        <v>45459018.57856293</v>
      </c>
      <c r="N5" s="6">
        <v>1032111440.064011</v>
      </c>
      <c r="O5" s="6">
        <v>295855386.0007</v>
      </c>
      <c r="P5" s="6">
        <v>5779546.8956000004</v>
      </c>
      <c r="Q5" s="6">
        <v>31282509.862272501</v>
      </c>
      <c r="R5" s="6">
        <v>30356350.57821817</v>
      </c>
      <c r="S5" s="6">
        <v>833234.45826847223</v>
      </c>
      <c r="T5" s="6">
        <v>1888398.2516999999</v>
      </c>
      <c r="U5" s="6"/>
      <c r="V5" s="6"/>
      <c r="W5" s="6">
        <v>3318751994</v>
      </c>
      <c r="X5" s="6">
        <f>SUM(표1[[#This Row],[취사용]:[주한미군]])</f>
        <v>3318751991.9999995</v>
      </c>
      <c r="Y5" s="7">
        <f t="shared" si="0"/>
        <v>2.0000004768371582</v>
      </c>
      <c r="AJ5"/>
    </row>
    <row r="6" spans="1:36" x14ac:dyDescent="0.3">
      <c r="A6" s="1">
        <v>42856</v>
      </c>
      <c r="B6" s="2">
        <v>2017</v>
      </c>
      <c r="C6" s="2">
        <v>5</v>
      </c>
      <c r="D6" s="2">
        <v>20.8</v>
      </c>
      <c r="E6" s="6">
        <v>32431742.327011429</v>
      </c>
      <c r="F6" s="6">
        <v>698148845.34693575</v>
      </c>
      <c r="G6" s="6">
        <v>34443881.346521512</v>
      </c>
      <c r="H6" s="6">
        <v>8138903.2298081778</v>
      </c>
      <c r="I6" s="6">
        <v>104924131</v>
      </c>
      <c r="J6" s="6">
        <v>65202494.860440403</v>
      </c>
      <c r="K6" s="6">
        <v>80599054.948997796</v>
      </c>
      <c r="L6" s="6">
        <v>27808018.574640721</v>
      </c>
      <c r="M6" s="6">
        <v>68671407.994272768</v>
      </c>
      <c r="N6" s="6">
        <v>947544132.77144849</v>
      </c>
      <c r="O6" s="6">
        <v>317482860.5018</v>
      </c>
      <c r="P6" s="6">
        <v>2087528.9410000001</v>
      </c>
      <c r="Q6" s="6">
        <v>28455613.14751754</v>
      </c>
      <c r="R6" s="6">
        <v>31076272.104232319</v>
      </c>
      <c r="S6" s="6">
        <v>428676.47087321331</v>
      </c>
      <c r="T6" s="6">
        <v>1063235.4345</v>
      </c>
      <c r="U6" s="6"/>
      <c r="V6" s="6"/>
      <c r="W6" s="6">
        <v>2448506799</v>
      </c>
      <c r="X6" s="6">
        <f>SUM(표1[[#This Row],[취사용]:[주한미군]])</f>
        <v>2448506799.0000005</v>
      </c>
      <c r="Y6" s="7">
        <f t="shared" si="0"/>
        <v>0</v>
      </c>
      <c r="AJ6"/>
    </row>
    <row r="7" spans="1:36" x14ac:dyDescent="0.3">
      <c r="A7" s="1">
        <v>42887</v>
      </c>
      <c r="B7" s="2">
        <v>2017</v>
      </c>
      <c r="C7" s="2">
        <v>6</v>
      </c>
      <c r="D7" s="2">
        <v>23.3</v>
      </c>
      <c r="E7" s="6">
        <v>31837367.884178549</v>
      </c>
      <c r="F7" s="6">
        <v>481705895.90217263</v>
      </c>
      <c r="G7" s="6">
        <v>25295782.578457829</v>
      </c>
      <c r="H7" s="6">
        <v>4578839.7925955448</v>
      </c>
      <c r="I7" s="6">
        <v>102216730</v>
      </c>
      <c r="J7" s="6">
        <v>60416535.456798077</v>
      </c>
      <c r="K7" s="6">
        <v>67872789.996727899</v>
      </c>
      <c r="L7" s="6">
        <v>22026697.036098588</v>
      </c>
      <c r="M7" s="6">
        <v>147285205.1494481</v>
      </c>
      <c r="N7" s="6">
        <v>889154847.53951144</v>
      </c>
      <c r="O7" s="6">
        <v>315379008.38819999</v>
      </c>
      <c r="P7" s="6">
        <v>672636.75470000005</v>
      </c>
      <c r="Q7" s="6">
        <v>25307529.342599001</v>
      </c>
      <c r="R7" s="6">
        <v>30846690.18698502</v>
      </c>
      <c r="S7" s="6">
        <v>451389.62632763252</v>
      </c>
      <c r="T7" s="6">
        <v>760540.3652</v>
      </c>
      <c r="U7" s="6"/>
      <c r="V7" s="6"/>
      <c r="W7" s="6">
        <v>2205808485</v>
      </c>
      <c r="X7" s="6">
        <f>SUM(표1[[#This Row],[취사용]:[주한미군]])</f>
        <v>2205808486.0000005</v>
      </c>
      <c r="Y7" s="7">
        <f t="shared" si="0"/>
        <v>-1.0000004768371582</v>
      </c>
      <c r="AJ7"/>
    </row>
    <row r="8" spans="1:36" x14ac:dyDescent="0.3">
      <c r="A8" s="1">
        <v>42917</v>
      </c>
      <c r="B8" s="2">
        <v>2017</v>
      </c>
      <c r="C8" s="2">
        <v>7</v>
      </c>
      <c r="D8" s="2">
        <v>28</v>
      </c>
      <c r="E8" s="6">
        <v>32412881.11380494</v>
      </c>
      <c r="F8" s="6">
        <v>370934817.58538717</v>
      </c>
      <c r="G8" s="6">
        <v>17270926.162818141</v>
      </c>
      <c r="H8" s="6">
        <v>3181289.0150272078</v>
      </c>
      <c r="I8" s="6">
        <v>94513617</v>
      </c>
      <c r="J8" s="6">
        <v>54929241.153497815</v>
      </c>
      <c r="K8" s="6">
        <v>57323905.417873703</v>
      </c>
      <c r="L8" s="6">
        <v>18794010.621941742</v>
      </c>
      <c r="M8" s="6">
        <v>219325298.94252741</v>
      </c>
      <c r="N8" s="6">
        <v>853709301.90213823</v>
      </c>
      <c r="O8" s="6">
        <v>332235520.97390002</v>
      </c>
      <c r="P8" s="6">
        <v>4373194.9260999998</v>
      </c>
      <c r="Q8" s="6">
        <v>26189784.47311629</v>
      </c>
      <c r="R8" s="6">
        <v>32030204.75188547</v>
      </c>
      <c r="S8" s="6">
        <v>574282.15028175211</v>
      </c>
      <c r="T8" s="6">
        <v>694620.80969999998</v>
      </c>
      <c r="U8" s="6"/>
      <c r="V8" s="6"/>
      <c r="W8" s="6">
        <v>2118492898</v>
      </c>
      <c r="X8" s="6">
        <f>SUM(표1[[#This Row],[취사용]:[주한미군]])</f>
        <v>2118492896.9999998</v>
      </c>
      <c r="Y8" s="7">
        <f t="shared" si="0"/>
        <v>1.0000002384185791</v>
      </c>
      <c r="AJ8"/>
    </row>
    <row r="9" spans="1:36" x14ac:dyDescent="0.3">
      <c r="A9" s="1">
        <v>42948</v>
      </c>
      <c r="B9" s="2">
        <v>2017</v>
      </c>
      <c r="C9" s="2">
        <v>8</v>
      </c>
      <c r="D9" s="2">
        <v>26.4</v>
      </c>
      <c r="E9" s="6">
        <v>33180364.670192949</v>
      </c>
      <c r="F9" s="6">
        <v>346860318.40614301</v>
      </c>
      <c r="G9" s="6">
        <v>18197962.743998282</v>
      </c>
      <c r="H9" s="6">
        <v>2699216.5759239318</v>
      </c>
      <c r="I9" s="6">
        <v>93940323</v>
      </c>
      <c r="J9" s="6">
        <v>47517794.697167903</v>
      </c>
      <c r="K9" s="6">
        <v>53404399.506009229</v>
      </c>
      <c r="L9" s="6">
        <v>17359045.835539039</v>
      </c>
      <c r="M9" s="6">
        <v>193567954.23419029</v>
      </c>
      <c r="N9" s="6">
        <v>842934346.09489357</v>
      </c>
      <c r="O9" s="6">
        <v>326867029.85699999</v>
      </c>
      <c r="P9" s="6">
        <v>2772997.6318000001</v>
      </c>
      <c r="Q9" s="6">
        <v>24178292.334746081</v>
      </c>
      <c r="R9" s="6">
        <v>31222396.506606109</v>
      </c>
      <c r="S9" s="6">
        <v>592399.30618955963</v>
      </c>
      <c r="T9" s="6">
        <v>993150.59959999996</v>
      </c>
      <c r="U9" s="6"/>
      <c r="V9" s="6"/>
      <c r="W9" s="6">
        <v>2036287991</v>
      </c>
      <c r="X9" s="6">
        <f>SUM(표1[[#This Row],[취사용]:[주한미군]])</f>
        <v>2036287991.9999998</v>
      </c>
      <c r="Y9" s="7">
        <f t="shared" si="0"/>
        <v>-0.9999997615814209</v>
      </c>
      <c r="AJ9"/>
    </row>
    <row r="10" spans="1:36" x14ac:dyDescent="0.3">
      <c r="A10" s="1">
        <v>42979</v>
      </c>
      <c r="B10" s="2">
        <v>2017</v>
      </c>
      <c r="C10" s="2">
        <v>9</v>
      </c>
      <c r="D10" s="2">
        <v>21.5</v>
      </c>
      <c r="E10" s="6">
        <v>32499001.250595659</v>
      </c>
      <c r="F10" s="6">
        <v>477787798.06454611</v>
      </c>
      <c r="G10" s="6">
        <v>19861461.262715161</v>
      </c>
      <c r="H10" s="6">
        <v>3484208.5847808341</v>
      </c>
      <c r="I10" s="6">
        <v>103423024</v>
      </c>
      <c r="J10" s="6">
        <v>47026690.306751996</v>
      </c>
      <c r="K10" s="6">
        <v>59790351.433301464</v>
      </c>
      <c r="L10" s="6">
        <v>19660930.691550169</v>
      </c>
      <c r="M10" s="6">
        <v>121782811.2471595</v>
      </c>
      <c r="N10" s="6">
        <v>921468558.42472458</v>
      </c>
      <c r="O10" s="6">
        <v>314471221.1437</v>
      </c>
      <c r="P10" s="6">
        <v>3843352.5016999999</v>
      </c>
      <c r="Q10" s="6">
        <v>24442990.629977152</v>
      </c>
      <c r="R10" s="6">
        <v>30653470.499254379</v>
      </c>
      <c r="S10" s="6">
        <v>491352.36374297022</v>
      </c>
      <c r="T10" s="6">
        <v>959481.59550000005</v>
      </c>
      <c r="U10" s="6"/>
      <c r="V10" s="6"/>
      <c r="W10" s="6">
        <v>2181646705</v>
      </c>
      <c r="X10" s="6">
        <f>SUM(표1[[#This Row],[취사용]:[주한미군]])</f>
        <v>2181646703.9999995</v>
      </c>
      <c r="Y10" s="7">
        <f t="shared" si="0"/>
        <v>1.0000004768371582</v>
      </c>
      <c r="AJ10"/>
    </row>
    <row r="11" spans="1:36" x14ac:dyDescent="0.3">
      <c r="A11" s="1">
        <v>43009</v>
      </c>
      <c r="B11" s="2">
        <v>2017</v>
      </c>
      <c r="C11" s="2">
        <v>10</v>
      </c>
      <c r="D11" s="2">
        <v>16.2</v>
      </c>
      <c r="E11" s="6">
        <v>35642691.759509876</v>
      </c>
      <c r="F11" s="6">
        <v>1096208011.7880771</v>
      </c>
      <c r="G11" s="6">
        <v>42026461.897650607</v>
      </c>
      <c r="H11" s="6">
        <v>11845795.04506748</v>
      </c>
      <c r="I11" s="6">
        <v>101150875</v>
      </c>
      <c r="J11" s="6">
        <v>51832171.818660915</v>
      </c>
      <c r="K11" s="6">
        <v>76083331.998858988</v>
      </c>
      <c r="L11" s="6">
        <v>31131180.77851649</v>
      </c>
      <c r="M11" s="6">
        <v>48332547.776628673</v>
      </c>
      <c r="N11" s="6">
        <v>822831946.97678506</v>
      </c>
      <c r="O11" s="6">
        <v>299095337.56260002</v>
      </c>
      <c r="P11" s="6">
        <v>1924450.9754999999</v>
      </c>
      <c r="Q11" s="6">
        <v>27984728.663117331</v>
      </c>
      <c r="R11" s="6">
        <v>35517921.133023657</v>
      </c>
      <c r="S11" s="6">
        <v>566779.33120330563</v>
      </c>
      <c r="T11" s="6">
        <v>1436226.4948</v>
      </c>
      <c r="U11" s="6"/>
      <c r="V11" s="6"/>
      <c r="W11" s="6">
        <v>2683610458</v>
      </c>
      <c r="X11" s="6">
        <f>SUM(표1[[#This Row],[취사용]:[주한미군]])</f>
        <v>2683610459.0000005</v>
      </c>
      <c r="Y11" s="7">
        <f t="shared" si="0"/>
        <v>-1.0000004768371582</v>
      </c>
      <c r="AJ11"/>
    </row>
    <row r="12" spans="1:36" x14ac:dyDescent="0.3">
      <c r="A12" s="1">
        <v>43040</v>
      </c>
      <c r="B12" s="2">
        <v>2017</v>
      </c>
      <c r="C12" s="2">
        <v>11</v>
      </c>
      <c r="D12" s="2">
        <v>7.8</v>
      </c>
      <c r="E12" s="6">
        <v>41440994.231983528</v>
      </c>
      <c r="F12" s="6">
        <v>2711811400.9806452</v>
      </c>
      <c r="G12" s="6">
        <v>104655261.9545971</v>
      </c>
      <c r="H12" s="6">
        <v>43766171.719748467</v>
      </c>
      <c r="I12" s="6">
        <v>128509053</v>
      </c>
      <c r="J12" s="6">
        <v>73513274.015857309</v>
      </c>
      <c r="K12" s="6">
        <v>137533940.19373</v>
      </c>
      <c r="L12" s="6">
        <v>91317049.477416351</v>
      </c>
      <c r="M12" s="6">
        <v>91805508.319548592</v>
      </c>
      <c r="N12" s="6">
        <v>1066903720.562101</v>
      </c>
      <c r="O12" s="6">
        <v>310740929.54710001</v>
      </c>
      <c r="P12" s="6">
        <v>2790286.5345000001</v>
      </c>
      <c r="Q12" s="6">
        <v>34229657.765391782</v>
      </c>
      <c r="R12" s="6">
        <v>29306775.193200059</v>
      </c>
      <c r="S12" s="6">
        <v>856784.73408088693</v>
      </c>
      <c r="T12" s="6">
        <v>5016585.7701000003</v>
      </c>
      <c r="U12" s="6"/>
      <c r="V12" s="6"/>
      <c r="W12" s="6">
        <v>4874197394</v>
      </c>
      <c r="X12" s="6">
        <f>SUM(표1[[#This Row],[취사용]:[주한미군]])</f>
        <v>4874197394</v>
      </c>
      <c r="Y12" s="7">
        <f t="shared" si="0"/>
        <v>0</v>
      </c>
      <c r="AJ12"/>
    </row>
    <row r="13" spans="1:36" x14ac:dyDescent="0.3">
      <c r="A13" s="1">
        <v>43070</v>
      </c>
      <c r="B13" s="2">
        <v>2017</v>
      </c>
      <c r="C13" s="2">
        <v>12</v>
      </c>
      <c r="D13" s="2">
        <v>0.7</v>
      </c>
      <c r="E13" s="6">
        <v>44205383.775210008</v>
      </c>
      <c r="F13" s="6">
        <v>4765361095.4394255</v>
      </c>
      <c r="G13" s="6">
        <v>162381815.01949459</v>
      </c>
      <c r="H13" s="6">
        <v>86934404.77282238</v>
      </c>
      <c r="I13" s="6">
        <v>145899920</v>
      </c>
      <c r="J13" s="6">
        <v>87661314.35949108</v>
      </c>
      <c r="K13" s="6">
        <v>210506767.48097429</v>
      </c>
      <c r="L13" s="6">
        <v>165525795.09133631</v>
      </c>
      <c r="M13" s="6">
        <v>210058769.3880595</v>
      </c>
      <c r="N13" s="6">
        <v>1129851575.170573</v>
      </c>
      <c r="O13" s="6">
        <v>317484212.50340003</v>
      </c>
      <c r="P13" s="6">
        <v>3840452.01</v>
      </c>
      <c r="Q13" s="6">
        <v>41725875.222913191</v>
      </c>
      <c r="R13" s="6">
        <v>34187414.282639094</v>
      </c>
      <c r="S13" s="6">
        <v>821565.53136189468</v>
      </c>
      <c r="T13" s="6">
        <v>9244279.9522999991</v>
      </c>
      <c r="U13" s="6"/>
      <c r="V13" s="6"/>
      <c r="W13" s="6">
        <v>7415690637</v>
      </c>
      <c r="X13" s="6">
        <f>SUM(표1[[#This Row],[취사용]:[주한미군]])</f>
        <v>7415690640.0000019</v>
      </c>
      <c r="Y13" s="7">
        <f t="shared" si="0"/>
        <v>-3.0000019073486328</v>
      </c>
      <c r="AJ13"/>
    </row>
    <row r="14" spans="1:36" x14ac:dyDescent="0.3">
      <c r="A14" s="1">
        <v>43101</v>
      </c>
      <c r="B14" s="2">
        <v>2018</v>
      </c>
      <c r="C14" s="2">
        <v>1</v>
      </c>
      <c r="D14" s="2">
        <v>-0.9</v>
      </c>
      <c r="E14" s="6">
        <v>44894948</v>
      </c>
      <c r="F14" s="6">
        <v>5117246121</v>
      </c>
      <c r="G14" s="6">
        <v>158738497</v>
      </c>
      <c r="H14" s="6">
        <v>94483729</v>
      </c>
      <c r="I14" s="6">
        <v>138058583</v>
      </c>
      <c r="J14" s="6">
        <v>77191008</v>
      </c>
      <c r="K14" s="6">
        <v>227450515</v>
      </c>
      <c r="L14" s="6">
        <v>182457175</v>
      </c>
      <c r="M14" s="6">
        <v>227050021</v>
      </c>
      <c r="N14" s="6">
        <v>1185840992</v>
      </c>
      <c r="O14" s="6">
        <v>305808380</v>
      </c>
      <c r="P14" s="6">
        <v>3308548</v>
      </c>
      <c r="Q14" s="6">
        <v>42004020</v>
      </c>
      <c r="R14" s="6">
        <v>34576760</v>
      </c>
      <c r="S14" s="6">
        <v>2921022</v>
      </c>
      <c r="T14" s="6">
        <v>11611240</v>
      </c>
      <c r="U14" s="6"/>
      <c r="V14" s="6"/>
      <c r="W14" s="6">
        <v>7853641557</v>
      </c>
      <c r="X14" s="6">
        <f>SUM(표1[[#This Row],[취사용]:[주한미군]])</f>
        <v>7853641559</v>
      </c>
      <c r="Y14" s="7">
        <f t="shared" si="0"/>
        <v>-2</v>
      </c>
      <c r="AJ14"/>
    </row>
    <row r="15" spans="1:36" x14ac:dyDescent="0.3">
      <c r="A15" s="1">
        <v>43132</v>
      </c>
      <c r="B15" s="2">
        <v>2018</v>
      </c>
      <c r="C15" s="2">
        <v>2</v>
      </c>
      <c r="D15" s="2">
        <v>1.3</v>
      </c>
      <c r="E15" s="6">
        <v>40584377</v>
      </c>
      <c r="F15" s="6">
        <v>4260242241</v>
      </c>
      <c r="G15" s="6">
        <v>137507694</v>
      </c>
      <c r="H15" s="6">
        <v>79646369</v>
      </c>
      <c r="I15" s="6">
        <v>126374184</v>
      </c>
      <c r="J15" s="6">
        <v>65154550</v>
      </c>
      <c r="K15" s="6">
        <v>197274336</v>
      </c>
      <c r="L15" s="6">
        <v>152069068</v>
      </c>
      <c r="M15" s="6">
        <v>184401174</v>
      </c>
      <c r="N15" s="6">
        <v>945415271</v>
      </c>
      <c r="O15" s="6">
        <v>273996955</v>
      </c>
      <c r="P15" s="6">
        <v>5000362</v>
      </c>
      <c r="Q15" s="6">
        <v>35835559</v>
      </c>
      <c r="R15" s="6">
        <v>30933238</v>
      </c>
      <c r="S15" s="6">
        <v>2254182</v>
      </c>
      <c r="T15" s="6">
        <v>9290138</v>
      </c>
      <c r="U15" s="6"/>
      <c r="V15" s="6"/>
      <c r="W15" s="6">
        <v>6545979699</v>
      </c>
      <c r="X15" s="6">
        <f>SUM(표1[[#This Row],[취사용]:[주한미군]])</f>
        <v>6545979698</v>
      </c>
      <c r="Y15" s="7">
        <f t="shared" si="0"/>
        <v>1</v>
      </c>
      <c r="AJ15"/>
    </row>
    <row r="16" spans="1:36" x14ac:dyDescent="0.3">
      <c r="A16" s="1">
        <v>43160</v>
      </c>
      <c r="B16" s="2">
        <v>2018</v>
      </c>
      <c r="C16" s="2">
        <v>3</v>
      </c>
      <c r="D16" s="2">
        <v>9.1999999999999993</v>
      </c>
      <c r="E16" s="6">
        <v>35699597</v>
      </c>
      <c r="F16" s="6">
        <v>2831050179</v>
      </c>
      <c r="G16" s="6">
        <v>110644453</v>
      </c>
      <c r="H16" s="6">
        <v>50321795</v>
      </c>
      <c r="I16" s="6">
        <v>146167839</v>
      </c>
      <c r="J16" s="6">
        <v>65351599</v>
      </c>
      <c r="K16" s="6">
        <v>154848826</v>
      </c>
      <c r="L16" s="6">
        <v>102251099</v>
      </c>
      <c r="M16" s="6">
        <v>96676770</v>
      </c>
      <c r="N16" s="6">
        <v>1072495818</v>
      </c>
      <c r="O16" s="6">
        <v>305431753</v>
      </c>
      <c r="P16" s="6">
        <v>10560340</v>
      </c>
      <c r="Q16" s="6">
        <v>35156844</v>
      </c>
      <c r="R16" s="6">
        <v>28577422</v>
      </c>
      <c r="S16" s="6">
        <v>1128658</v>
      </c>
      <c r="T16" s="6">
        <v>6353876</v>
      </c>
      <c r="U16" s="6"/>
      <c r="V16" s="6"/>
      <c r="W16" s="6">
        <v>5052716868</v>
      </c>
      <c r="X16" s="6">
        <f>SUM(표1[[#This Row],[취사용]:[주한미군]])</f>
        <v>5052716868</v>
      </c>
      <c r="Y16" s="7">
        <f t="shared" si="0"/>
        <v>0</v>
      </c>
      <c r="AJ16"/>
    </row>
    <row r="17" spans="1:36" x14ac:dyDescent="0.3">
      <c r="A17" s="1">
        <v>43191</v>
      </c>
      <c r="B17" s="2">
        <v>2018</v>
      </c>
      <c r="C17" s="2">
        <v>4</v>
      </c>
      <c r="D17" s="2">
        <v>15</v>
      </c>
      <c r="E17" s="6">
        <v>32169217</v>
      </c>
      <c r="F17" s="6">
        <v>1408631167</v>
      </c>
      <c r="G17" s="6">
        <v>57580060</v>
      </c>
      <c r="H17" s="6">
        <v>20580556</v>
      </c>
      <c r="I17" s="6">
        <v>120150708</v>
      </c>
      <c r="J17" s="6">
        <v>64909471</v>
      </c>
      <c r="K17" s="6">
        <v>103128648</v>
      </c>
      <c r="L17" s="6">
        <v>49332782</v>
      </c>
      <c r="M17" s="6">
        <v>40365222</v>
      </c>
      <c r="N17" s="6">
        <v>983434061</v>
      </c>
      <c r="O17" s="6">
        <v>299988913</v>
      </c>
      <c r="P17" s="6">
        <v>7342741</v>
      </c>
      <c r="Q17" s="6">
        <v>31024387</v>
      </c>
      <c r="R17" s="6">
        <v>32915543</v>
      </c>
      <c r="S17" s="6">
        <v>1021018</v>
      </c>
      <c r="T17" s="6">
        <v>2954401</v>
      </c>
      <c r="U17" s="6"/>
      <c r="V17" s="6"/>
      <c r="W17" s="6">
        <v>3255528896</v>
      </c>
      <c r="X17" s="6">
        <f>SUM(표1[[#This Row],[취사용]:[주한미군]])</f>
        <v>3255528895</v>
      </c>
      <c r="Y17" s="7">
        <f t="shared" si="0"/>
        <v>1</v>
      </c>
      <c r="AJ17"/>
    </row>
    <row r="18" spans="1:36" x14ac:dyDescent="0.3">
      <c r="A18" s="1">
        <v>43221</v>
      </c>
      <c r="B18" s="2">
        <v>2018</v>
      </c>
      <c r="C18" s="2">
        <v>5</v>
      </c>
      <c r="D18" s="2">
        <v>19.2</v>
      </c>
      <c r="E18" s="6">
        <v>31087926</v>
      </c>
      <c r="F18" s="6">
        <v>855980976</v>
      </c>
      <c r="G18" s="6">
        <v>31363058</v>
      </c>
      <c r="H18" s="6">
        <v>7288925</v>
      </c>
      <c r="I18" s="6">
        <v>109408111</v>
      </c>
      <c r="J18" s="6">
        <v>66684488</v>
      </c>
      <c r="K18" s="6">
        <v>77806213</v>
      </c>
      <c r="L18" s="6">
        <v>28825205</v>
      </c>
      <c r="M18" s="6">
        <v>64269374</v>
      </c>
      <c r="N18" s="6">
        <v>932639651</v>
      </c>
      <c r="O18" s="6">
        <v>314264391</v>
      </c>
      <c r="P18" s="6">
        <v>8306260</v>
      </c>
      <c r="Q18" s="6">
        <v>29990006</v>
      </c>
      <c r="R18" s="6">
        <v>34176741</v>
      </c>
      <c r="S18" s="6">
        <v>416966</v>
      </c>
      <c r="T18" s="6">
        <v>1726570</v>
      </c>
      <c r="U18" s="6"/>
      <c r="V18" s="6"/>
      <c r="W18" s="6">
        <v>2594234860</v>
      </c>
      <c r="X18" s="6">
        <f>SUM(표1[[#This Row],[취사용]:[주한미군]])</f>
        <v>2594234861</v>
      </c>
      <c r="Y18" s="7">
        <f t="shared" si="0"/>
        <v>-1</v>
      </c>
      <c r="AJ18"/>
    </row>
    <row r="19" spans="1:36" x14ac:dyDescent="0.3">
      <c r="A19" s="1">
        <v>43252</v>
      </c>
      <c r="B19" s="2">
        <v>2018</v>
      </c>
      <c r="C19" s="2">
        <v>6</v>
      </c>
      <c r="D19" s="2">
        <v>23.6</v>
      </c>
      <c r="E19" s="6">
        <v>29936887</v>
      </c>
      <c r="F19" s="6">
        <v>459578101</v>
      </c>
      <c r="G19" s="6">
        <v>20315306</v>
      </c>
      <c r="H19" s="6">
        <v>3399242</v>
      </c>
      <c r="I19" s="6">
        <v>101549117</v>
      </c>
      <c r="J19" s="6">
        <v>57107727</v>
      </c>
      <c r="K19" s="6">
        <v>61454091</v>
      </c>
      <c r="L19" s="6">
        <v>20489933</v>
      </c>
      <c r="M19" s="6">
        <v>120317767</v>
      </c>
      <c r="N19" s="6">
        <v>877907703</v>
      </c>
      <c r="O19" s="6">
        <v>294674360</v>
      </c>
      <c r="P19" s="6">
        <v>8875972</v>
      </c>
      <c r="Q19" s="6">
        <v>24760875</v>
      </c>
      <c r="R19" s="6">
        <v>29554701</v>
      </c>
      <c r="S19" s="6">
        <v>460586</v>
      </c>
      <c r="T19" s="6">
        <v>1300904</v>
      </c>
      <c r="U19" s="6"/>
      <c r="V19" s="6"/>
      <c r="W19" s="6">
        <v>2111683273</v>
      </c>
      <c r="X19" s="6">
        <f>SUM(표1[[#This Row],[취사용]:[주한미군]])</f>
        <v>2111683272</v>
      </c>
      <c r="Y19" s="7">
        <f t="shared" si="0"/>
        <v>1</v>
      </c>
      <c r="AJ19"/>
    </row>
    <row r="20" spans="1:36" x14ac:dyDescent="0.3">
      <c r="A20" s="1">
        <v>43282</v>
      </c>
      <c r="B20" s="2">
        <v>2018</v>
      </c>
      <c r="C20" s="2">
        <v>7</v>
      </c>
      <c r="D20" s="2">
        <v>28.2</v>
      </c>
      <c r="E20" s="6">
        <v>29819907</v>
      </c>
      <c r="F20" s="6">
        <v>393966887</v>
      </c>
      <c r="G20" s="6">
        <v>14860648</v>
      </c>
      <c r="H20" s="6">
        <v>2629635</v>
      </c>
      <c r="I20" s="6">
        <v>99870598</v>
      </c>
      <c r="J20" s="6">
        <v>52266370</v>
      </c>
      <c r="K20" s="6">
        <v>55292093</v>
      </c>
      <c r="L20" s="6">
        <v>18479012</v>
      </c>
      <c r="M20" s="6">
        <v>227769854</v>
      </c>
      <c r="N20" s="6">
        <v>802306152</v>
      </c>
      <c r="O20" s="6">
        <v>314226864</v>
      </c>
      <c r="P20" s="6">
        <v>2255461</v>
      </c>
      <c r="Q20" s="6">
        <v>24857599</v>
      </c>
      <c r="R20" s="6">
        <v>34251226</v>
      </c>
      <c r="S20" s="6">
        <v>707427</v>
      </c>
      <c r="T20" s="6">
        <v>1067451</v>
      </c>
      <c r="U20" s="6"/>
      <c r="V20" s="6"/>
      <c r="W20" s="6">
        <v>2074627183</v>
      </c>
      <c r="X20" s="6">
        <f>SUM(표1[[#This Row],[취사용]:[주한미군]])</f>
        <v>2074627184</v>
      </c>
      <c r="Y20" s="7">
        <f t="shared" si="0"/>
        <v>-1</v>
      </c>
      <c r="AJ20"/>
    </row>
    <row r="21" spans="1:36" x14ac:dyDescent="0.3">
      <c r="A21" s="1">
        <v>43313</v>
      </c>
      <c r="B21" s="2">
        <v>2018</v>
      </c>
      <c r="C21" s="2">
        <v>8</v>
      </c>
      <c r="D21" s="2">
        <v>27.7</v>
      </c>
      <c r="E21" s="6">
        <v>28666777</v>
      </c>
      <c r="F21" s="6">
        <v>330387074</v>
      </c>
      <c r="G21" s="6">
        <v>13521566</v>
      </c>
      <c r="H21" s="6">
        <v>1944504</v>
      </c>
      <c r="I21" s="6">
        <v>98887230</v>
      </c>
      <c r="J21" s="6">
        <v>45794497</v>
      </c>
      <c r="K21" s="6">
        <v>51211896</v>
      </c>
      <c r="L21" s="6">
        <v>16835896</v>
      </c>
      <c r="M21" s="6">
        <v>229421415</v>
      </c>
      <c r="N21" s="6">
        <v>797181657</v>
      </c>
      <c r="O21" s="6">
        <v>317117290</v>
      </c>
      <c r="P21" s="6">
        <v>1302732</v>
      </c>
      <c r="Q21" s="6">
        <v>22346529</v>
      </c>
      <c r="R21" s="6">
        <v>33190677</v>
      </c>
      <c r="S21" s="6">
        <v>5429958</v>
      </c>
      <c r="T21" s="6">
        <v>1107836</v>
      </c>
      <c r="U21" s="6"/>
      <c r="V21" s="6"/>
      <c r="W21" s="6">
        <v>1994347535</v>
      </c>
      <c r="X21" s="6">
        <f>SUM(표1[[#This Row],[취사용]:[주한미군]])</f>
        <v>1994347534</v>
      </c>
      <c r="Y21" s="7">
        <f t="shared" si="0"/>
        <v>1</v>
      </c>
      <c r="AJ21"/>
    </row>
    <row r="22" spans="1:36" x14ac:dyDescent="0.3">
      <c r="A22" s="1">
        <v>43344</v>
      </c>
      <c r="B22" s="2">
        <v>2018</v>
      </c>
      <c r="C22" s="2">
        <v>9</v>
      </c>
      <c r="D22" s="2">
        <v>21</v>
      </c>
      <c r="E22" s="6">
        <v>30852376</v>
      </c>
      <c r="F22" s="6">
        <v>501128538</v>
      </c>
      <c r="G22" s="6">
        <v>20638648</v>
      </c>
      <c r="H22" s="6">
        <v>4070863</v>
      </c>
      <c r="I22" s="6">
        <v>102970682</v>
      </c>
      <c r="J22" s="6">
        <v>44784799</v>
      </c>
      <c r="K22" s="6">
        <v>58361866</v>
      </c>
      <c r="L22" s="6">
        <v>19360410</v>
      </c>
      <c r="M22" s="6">
        <v>115346493</v>
      </c>
      <c r="N22" s="6">
        <v>842384710</v>
      </c>
      <c r="O22" s="6">
        <v>288198049</v>
      </c>
      <c r="P22" s="6">
        <v>5125062</v>
      </c>
      <c r="Q22" s="6">
        <v>25554352</v>
      </c>
      <c r="R22" s="6">
        <v>35197212</v>
      </c>
      <c r="S22" s="6">
        <v>22854176</v>
      </c>
      <c r="T22" s="6">
        <v>1330047</v>
      </c>
      <c r="U22" s="6"/>
      <c r="V22" s="6"/>
      <c r="W22" s="6">
        <v>2118158286</v>
      </c>
      <c r="X22" s="6">
        <f>SUM(표1[[#This Row],[취사용]:[주한미군]])</f>
        <v>2118158283</v>
      </c>
      <c r="Y22" s="7">
        <f t="shared" si="0"/>
        <v>3</v>
      </c>
      <c r="AJ22"/>
    </row>
    <row r="23" spans="1:36" x14ac:dyDescent="0.3">
      <c r="A23" s="1">
        <v>43374</v>
      </c>
      <c r="B23" s="2">
        <v>2018</v>
      </c>
      <c r="C23" s="2">
        <v>10</v>
      </c>
      <c r="D23" s="2">
        <v>14.3</v>
      </c>
      <c r="E23" s="6">
        <v>31412206</v>
      </c>
      <c r="F23" s="6">
        <v>1430139025</v>
      </c>
      <c r="G23" s="6">
        <v>48727683</v>
      </c>
      <c r="H23" s="6">
        <v>15380488</v>
      </c>
      <c r="I23" s="6">
        <v>118250347</v>
      </c>
      <c r="J23" s="6">
        <v>56808116</v>
      </c>
      <c r="K23" s="6">
        <v>89576925</v>
      </c>
      <c r="L23" s="6">
        <v>39833327</v>
      </c>
      <c r="M23" s="6">
        <v>42485059</v>
      </c>
      <c r="N23" s="6">
        <v>959888893</v>
      </c>
      <c r="O23" s="6">
        <v>299364730</v>
      </c>
      <c r="P23" s="6">
        <v>7305911</v>
      </c>
      <c r="Q23" s="6">
        <v>30718654</v>
      </c>
      <c r="R23" s="6">
        <v>35925523</v>
      </c>
      <c r="S23" s="6">
        <v>389785</v>
      </c>
      <c r="T23" s="6">
        <v>2568278</v>
      </c>
      <c r="U23" s="6"/>
      <c r="V23" s="6"/>
      <c r="W23" s="6">
        <v>3208774951</v>
      </c>
      <c r="X23" s="6">
        <f>SUM(표1[[#This Row],[취사용]:[주한미군]])</f>
        <v>3208774950</v>
      </c>
      <c r="Y23" s="7">
        <f t="shared" si="0"/>
        <v>1</v>
      </c>
      <c r="AJ23"/>
    </row>
    <row r="24" spans="1:36" x14ac:dyDescent="0.3">
      <c r="A24" s="1">
        <v>43405</v>
      </c>
      <c r="B24" s="2">
        <v>2018</v>
      </c>
      <c r="C24" s="2">
        <v>11</v>
      </c>
      <c r="D24" s="2">
        <v>8.8000000000000007</v>
      </c>
      <c r="E24" s="6">
        <v>33704815</v>
      </c>
      <c r="F24" s="6">
        <v>2553633643</v>
      </c>
      <c r="G24" s="6">
        <v>88130452</v>
      </c>
      <c r="H24" s="6">
        <v>40388527</v>
      </c>
      <c r="I24" s="6">
        <v>127127090</v>
      </c>
      <c r="J24" s="6">
        <v>68062768</v>
      </c>
      <c r="K24" s="6">
        <v>126890347</v>
      </c>
      <c r="L24" s="6">
        <v>81779538</v>
      </c>
      <c r="M24" s="6">
        <v>76340504</v>
      </c>
      <c r="N24" s="6">
        <v>1050796141</v>
      </c>
      <c r="O24" s="6">
        <v>293326835</v>
      </c>
      <c r="P24" s="6">
        <v>7324921</v>
      </c>
      <c r="Q24" s="6">
        <v>32893863</v>
      </c>
      <c r="R24" s="6">
        <v>33515114</v>
      </c>
      <c r="S24" s="6">
        <v>514316</v>
      </c>
      <c r="T24" s="6">
        <v>7050380</v>
      </c>
      <c r="U24" s="6"/>
      <c r="V24" s="6"/>
      <c r="W24" s="6">
        <v>4621479255</v>
      </c>
      <c r="X24" s="6">
        <f>SUM(표1[[#This Row],[취사용]:[주한미군]])</f>
        <v>4621479254</v>
      </c>
      <c r="Y24" s="7">
        <f t="shared" si="0"/>
        <v>1</v>
      </c>
      <c r="AJ24"/>
    </row>
    <row r="25" spans="1:36" x14ac:dyDescent="0.3">
      <c r="A25" s="1">
        <v>43435</v>
      </c>
      <c r="B25" s="2">
        <v>2018</v>
      </c>
      <c r="C25" s="2">
        <v>12</v>
      </c>
      <c r="D25" s="2">
        <v>2</v>
      </c>
      <c r="E25" s="6">
        <v>42184514</v>
      </c>
      <c r="F25" s="6">
        <v>4574271640</v>
      </c>
      <c r="G25" s="6">
        <v>138148099</v>
      </c>
      <c r="H25" s="6">
        <v>77994327</v>
      </c>
      <c r="I25" s="6">
        <v>145518317</v>
      </c>
      <c r="J25" s="6">
        <v>83405729</v>
      </c>
      <c r="K25" s="6">
        <v>193212535</v>
      </c>
      <c r="L25" s="6">
        <v>150914424</v>
      </c>
      <c r="M25" s="6">
        <v>182867595</v>
      </c>
      <c r="N25" s="6">
        <v>1047521603</v>
      </c>
      <c r="O25" s="6">
        <v>307039271</v>
      </c>
      <c r="P25" s="6">
        <v>3466954</v>
      </c>
      <c r="Q25" s="6">
        <v>39341556</v>
      </c>
      <c r="R25" s="6">
        <v>37260802</v>
      </c>
      <c r="S25" s="6">
        <v>1213945</v>
      </c>
      <c r="T25" s="6">
        <v>11569273</v>
      </c>
      <c r="U25" s="6"/>
      <c r="V25" s="6"/>
      <c r="W25" s="6">
        <v>7035930581</v>
      </c>
      <c r="X25" s="6">
        <f>SUM(표1[[#This Row],[취사용]:[주한미군]])</f>
        <v>7035930584</v>
      </c>
      <c r="Y25" s="7">
        <f t="shared" si="0"/>
        <v>-3</v>
      </c>
      <c r="AJ25"/>
    </row>
    <row r="26" spans="1:36" x14ac:dyDescent="0.3">
      <c r="A26" s="1">
        <v>43466</v>
      </c>
      <c r="B26" s="2">
        <v>2019</v>
      </c>
      <c r="C26" s="2">
        <v>1</v>
      </c>
      <c r="D26" s="2">
        <v>1.7</v>
      </c>
      <c r="E26" s="6">
        <v>40362897</v>
      </c>
      <c r="F26" s="6">
        <v>4720043559</v>
      </c>
      <c r="G26" s="6">
        <v>136834391</v>
      </c>
      <c r="H26" s="6">
        <v>84860542</v>
      </c>
      <c r="I26" s="6">
        <v>137436658</v>
      </c>
      <c r="J26" s="6">
        <v>70647537</v>
      </c>
      <c r="K26" s="6">
        <v>205566852</v>
      </c>
      <c r="L26" s="6">
        <v>162087750</v>
      </c>
      <c r="M26" s="6">
        <v>192614641</v>
      </c>
      <c r="N26" s="6">
        <v>1117488228</v>
      </c>
      <c r="O26" s="6">
        <v>292425021</v>
      </c>
      <c r="P26" s="6">
        <v>4406228</v>
      </c>
      <c r="Q26" s="6">
        <v>39153152</v>
      </c>
      <c r="R26" s="6">
        <v>37438627</v>
      </c>
      <c r="S26" s="6">
        <v>6034197</v>
      </c>
      <c r="T26" s="6">
        <v>12673499</v>
      </c>
      <c r="U26" s="6"/>
      <c r="V26" s="6"/>
      <c r="W26" s="6">
        <v>7260073781</v>
      </c>
      <c r="X26" s="6">
        <f>SUM(표1[[#This Row],[취사용]:[주한미군]])</f>
        <v>7260073779</v>
      </c>
      <c r="Y26" s="7">
        <f t="shared" si="0"/>
        <v>2</v>
      </c>
      <c r="AJ26"/>
    </row>
    <row r="27" spans="1:36" x14ac:dyDescent="0.3">
      <c r="A27" s="1">
        <v>43497</v>
      </c>
      <c r="B27" s="2">
        <v>2019</v>
      </c>
      <c r="C27" s="2">
        <v>2</v>
      </c>
      <c r="D27" s="2">
        <v>4</v>
      </c>
      <c r="E27" s="6">
        <v>35456659</v>
      </c>
      <c r="F27" s="6">
        <v>3800989401</v>
      </c>
      <c r="G27" s="6">
        <v>113821385</v>
      </c>
      <c r="H27" s="6">
        <v>69377419</v>
      </c>
      <c r="I27" s="6">
        <v>127081983</v>
      </c>
      <c r="J27" s="6">
        <v>53808631</v>
      </c>
      <c r="K27" s="6">
        <v>172551780</v>
      </c>
      <c r="L27" s="6">
        <v>126375739</v>
      </c>
      <c r="M27" s="6">
        <v>138751316</v>
      </c>
      <c r="N27" s="6">
        <v>828968345</v>
      </c>
      <c r="O27" s="6">
        <v>260604159</v>
      </c>
      <c r="P27" s="6">
        <v>5780824</v>
      </c>
      <c r="Q27" s="6">
        <v>33641663</v>
      </c>
      <c r="R27" s="6">
        <v>33271819</v>
      </c>
      <c r="S27" s="6">
        <v>8058187</v>
      </c>
      <c r="T27" s="6">
        <v>10067544</v>
      </c>
      <c r="U27" s="6"/>
      <c r="V27" s="6"/>
      <c r="W27" s="6">
        <v>5818606853</v>
      </c>
      <c r="X27" s="6">
        <f>SUM(표1[[#This Row],[취사용]:[주한미군]])</f>
        <v>5818606854</v>
      </c>
      <c r="Y27" s="7">
        <f t="shared" si="0"/>
        <v>-1</v>
      </c>
      <c r="AJ27"/>
    </row>
    <row r="28" spans="1:36" x14ac:dyDescent="0.3">
      <c r="A28" s="1">
        <v>43525</v>
      </c>
      <c r="B28" s="2">
        <v>2019</v>
      </c>
      <c r="C28" s="2">
        <v>3</v>
      </c>
      <c r="D28" s="2">
        <v>9.4</v>
      </c>
      <c r="E28" s="6">
        <v>33649595</v>
      </c>
      <c r="F28" s="6">
        <v>2643712129</v>
      </c>
      <c r="G28" s="6">
        <v>95258834</v>
      </c>
      <c r="H28" s="6">
        <v>45242214</v>
      </c>
      <c r="I28" s="6">
        <v>150250565</v>
      </c>
      <c r="J28" s="6">
        <v>59005538</v>
      </c>
      <c r="K28" s="6">
        <v>147418759</v>
      </c>
      <c r="L28" s="6">
        <v>95124524</v>
      </c>
      <c r="M28" s="6">
        <v>85828365</v>
      </c>
      <c r="N28" s="6">
        <v>981128519</v>
      </c>
      <c r="O28" s="6">
        <v>299470078</v>
      </c>
      <c r="P28" s="6">
        <v>846702</v>
      </c>
      <c r="Q28" s="6">
        <v>35025370</v>
      </c>
      <c r="R28" s="6">
        <v>36688829</v>
      </c>
      <c r="S28" s="6">
        <v>1198260</v>
      </c>
      <c r="T28" s="6">
        <v>7208826</v>
      </c>
      <c r="U28" s="6"/>
      <c r="V28" s="6"/>
      <c r="W28" s="6">
        <v>4717057108</v>
      </c>
      <c r="X28" s="6">
        <f>SUM(표1[[#This Row],[취사용]:[주한미군]])</f>
        <v>4717057107</v>
      </c>
      <c r="Y28" s="7">
        <f t="shared" si="0"/>
        <v>1</v>
      </c>
      <c r="AJ28"/>
    </row>
    <row r="29" spans="1:36" x14ac:dyDescent="0.3">
      <c r="A29" s="1">
        <v>43556</v>
      </c>
      <c r="B29" s="2">
        <v>2019</v>
      </c>
      <c r="C29" s="2">
        <v>4</v>
      </c>
      <c r="D29" s="2">
        <v>13.5</v>
      </c>
      <c r="E29" s="6">
        <v>32143828</v>
      </c>
      <c r="F29" s="6">
        <v>1779685495</v>
      </c>
      <c r="G29" s="6">
        <v>64357943</v>
      </c>
      <c r="H29" s="6">
        <v>27015926</v>
      </c>
      <c r="I29" s="6">
        <v>135789814</v>
      </c>
      <c r="J29" s="6">
        <v>65790989</v>
      </c>
      <c r="K29" s="6">
        <v>116204704</v>
      </c>
      <c r="L29" s="6">
        <v>58652810</v>
      </c>
      <c r="M29" s="6">
        <v>47245553</v>
      </c>
      <c r="N29" s="6">
        <v>1004478984</v>
      </c>
      <c r="O29" s="6">
        <v>295038820</v>
      </c>
      <c r="P29" s="6">
        <v>0</v>
      </c>
      <c r="Q29" s="6">
        <v>33993327</v>
      </c>
      <c r="R29" s="6">
        <v>35218403</v>
      </c>
      <c r="S29" s="6">
        <v>619607</v>
      </c>
      <c r="T29" s="6">
        <v>5064819</v>
      </c>
      <c r="U29" s="6"/>
      <c r="V29" s="6"/>
      <c r="W29" s="6">
        <v>3701301022</v>
      </c>
      <c r="X29" s="6">
        <f>SUM(표1[[#This Row],[취사용]:[주한미군]])</f>
        <v>3701301022</v>
      </c>
      <c r="Y29" s="7">
        <f t="shared" si="0"/>
        <v>0</v>
      </c>
      <c r="AJ29"/>
    </row>
    <row r="30" spans="1:36" x14ac:dyDescent="0.3">
      <c r="A30" s="1">
        <v>43586</v>
      </c>
      <c r="B30" s="2">
        <v>2019</v>
      </c>
      <c r="C30" s="2">
        <v>5</v>
      </c>
      <c r="D30" s="2">
        <v>20.7</v>
      </c>
      <c r="E30" s="6">
        <v>28519917</v>
      </c>
      <c r="F30" s="6">
        <v>774411275</v>
      </c>
      <c r="G30" s="6">
        <v>31997403</v>
      </c>
      <c r="H30" s="6">
        <v>7806320</v>
      </c>
      <c r="I30" s="6">
        <v>115781792</v>
      </c>
      <c r="J30" s="6">
        <v>66287739</v>
      </c>
      <c r="K30" s="6">
        <v>77198035</v>
      </c>
      <c r="L30" s="6">
        <v>28418323</v>
      </c>
      <c r="M30" s="6">
        <v>66174757</v>
      </c>
      <c r="N30" s="6">
        <v>1027915547</v>
      </c>
      <c r="O30" s="6">
        <v>311881423</v>
      </c>
      <c r="P30" s="6">
        <v>736285</v>
      </c>
      <c r="Q30" s="6">
        <v>28924277</v>
      </c>
      <c r="R30" s="6">
        <v>37112965</v>
      </c>
      <c r="S30" s="6">
        <v>901738</v>
      </c>
      <c r="T30" s="6">
        <v>1945484</v>
      </c>
      <c r="U30" s="6"/>
      <c r="V30" s="6"/>
      <c r="W30" s="6">
        <v>2606013280</v>
      </c>
      <c r="X30" s="6">
        <f>SUM(표1[[#This Row],[취사용]:[주한미군]])</f>
        <v>2606013280</v>
      </c>
      <c r="Y30" s="7">
        <f t="shared" si="0"/>
        <v>0</v>
      </c>
      <c r="AJ30"/>
    </row>
    <row r="31" spans="1:36" x14ac:dyDescent="0.3">
      <c r="A31" s="1">
        <v>43617</v>
      </c>
      <c r="B31" s="2">
        <v>2019</v>
      </c>
      <c r="C31" s="2">
        <v>6</v>
      </c>
      <c r="D31" s="2">
        <v>22.8</v>
      </c>
      <c r="E31" s="6">
        <v>28958195</v>
      </c>
      <c r="F31" s="6">
        <v>570659667</v>
      </c>
      <c r="G31" s="6">
        <v>22948208</v>
      </c>
      <c r="H31" s="6">
        <v>4498263</v>
      </c>
      <c r="I31" s="6">
        <v>108769700</v>
      </c>
      <c r="J31" s="6">
        <v>59953798</v>
      </c>
      <c r="K31" s="6">
        <v>65479474</v>
      </c>
      <c r="L31" s="6">
        <v>22076151</v>
      </c>
      <c r="M31" s="6">
        <v>113977688</v>
      </c>
      <c r="N31" s="6">
        <v>844654228</v>
      </c>
      <c r="O31" s="6">
        <v>300506040</v>
      </c>
      <c r="P31" s="6">
        <v>2484724</v>
      </c>
      <c r="Q31" s="6">
        <v>25058690</v>
      </c>
      <c r="R31" s="6">
        <v>35753515</v>
      </c>
      <c r="S31" s="6">
        <v>442117</v>
      </c>
      <c r="T31" s="6">
        <v>1624582</v>
      </c>
      <c r="U31" s="6"/>
      <c r="V31" s="6"/>
      <c r="W31" s="6">
        <v>2207845039</v>
      </c>
      <c r="X31" s="6">
        <f>SUM(표1[[#This Row],[취사용]:[주한미군]])</f>
        <v>2207845040</v>
      </c>
      <c r="Y31" s="7">
        <f t="shared" si="0"/>
        <v>-1</v>
      </c>
      <c r="AJ31"/>
    </row>
    <row r="32" spans="1:36" x14ac:dyDescent="0.3">
      <c r="A32" s="1">
        <v>43647</v>
      </c>
      <c r="B32" s="2">
        <v>2019</v>
      </c>
      <c r="C32" s="2">
        <v>7</v>
      </c>
      <c r="D32" s="2">
        <v>25.8</v>
      </c>
      <c r="E32" s="6">
        <v>31197418</v>
      </c>
      <c r="F32" s="6">
        <v>448593386</v>
      </c>
      <c r="G32" s="6">
        <v>17795741</v>
      </c>
      <c r="H32" s="6">
        <v>3687465</v>
      </c>
      <c r="I32" s="6">
        <v>104755764</v>
      </c>
      <c r="J32" s="6">
        <v>54972587</v>
      </c>
      <c r="K32" s="6">
        <v>59425110</v>
      </c>
      <c r="L32" s="6">
        <v>20471820</v>
      </c>
      <c r="M32" s="6">
        <v>188281885</v>
      </c>
      <c r="N32" s="6">
        <v>887264982</v>
      </c>
      <c r="O32" s="6">
        <v>310107341</v>
      </c>
      <c r="P32" s="6">
        <v>5954026</v>
      </c>
      <c r="Q32" s="6">
        <v>24376407</v>
      </c>
      <c r="R32" s="6">
        <v>15922993</v>
      </c>
      <c r="S32" s="6">
        <v>639266</v>
      </c>
      <c r="T32" s="6">
        <v>1939333</v>
      </c>
      <c r="U32" s="6"/>
      <c r="V32" s="6"/>
      <c r="W32" s="6">
        <v>2175385523</v>
      </c>
      <c r="X32" s="6">
        <f>SUM(표1[[#This Row],[취사용]:[주한미군]])</f>
        <v>2175385524</v>
      </c>
      <c r="Y32" s="7">
        <f t="shared" si="0"/>
        <v>-1</v>
      </c>
      <c r="AJ32"/>
    </row>
    <row r="33" spans="1:36" x14ac:dyDescent="0.3">
      <c r="A33" s="1">
        <v>43678</v>
      </c>
      <c r="B33" s="2">
        <v>2019</v>
      </c>
      <c r="C33" s="2">
        <v>8</v>
      </c>
      <c r="D33" s="2">
        <v>27.4</v>
      </c>
      <c r="E33" s="6">
        <v>30054618</v>
      </c>
      <c r="F33" s="6">
        <v>381464247</v>
      </c>
      <c r="G33" s="6">
        <v>14253431</v>
      </c>
      <c r="H33" s="6">
        <v>2851172</v>
      </c>
      <c r="I33" s="6">
        <v>104390193</v>
      </c>
      <c r="J33" s="6">
        <v>45261531</v>
      </c>
      <c r="K33" s="6">
        <v>52248061</v>
      </c>
      <c r="L33" s="6">
        <v>18224865</v>
      </c>
      <c r="M33" s="6">
        <v>199654262</v>
      </c>
      <c r="N33" s="6">
        <v>821822187</v>
      </c>
      <c r="O33" s="6">
        <v>316639104</v>
      </c>
      <c r="P33" s="6">
        <v>2337367</v>
      </c>
      <c r="Q33" s="6">
        <v>27613989</v>
      </c>
      <c r="R33" s="6">
        <v>8256409</v>
      </c>
      <c r="S33" s="6">
        <v>641363</v>
      </c>
      <c r="T33" s="6">
        <v>1093120</v>
      </c>
      <c r="U33" s="6"/>
      <c r="V33" s="6"/>
      <c r="W33" s="6">
        <v>2026805921</v>
      </c>
      <c r="X33" s="6">
        <f>SUM(표1[[#This Row],[취사용]:[주한미군]])</f>
        <v>2026805919</v>
      </c>
      <c r="Y33" s="7">
        <f t="shared" si="0"/>
        <v>2</v>
      </c>
      <c r="AJ33"/>
    </row>
    <row r="34" spans="1:36" x14ac:dyDescent="0.3">
      <c r="A34" s="1">
        <v>43709</v>
      </c>
      <c r="B34" s="2">
        <v>2019</v>
      </c>
      <c r="C34" s="2">
        <v>9</v>
      </c>
      <c r="D34" s="2">
        <v>22.6</v>
      </c>
      <c r="E34" s="6">
        <v>29467433</v>
      </c>
      <c r="F34" s="6">
        <v>509117058</v>
      </c>
      <c r="G34" s="6">
        <v>19786729</v>
      </c>
      <c r="H34" s="6">
        <v>3528044</v>
      </c>
      <c r="I34" s="6">
        <v>111195486</v>
      </c>
      <c r="J34" s="6">
        <v>43235600</v>
      </c>
      <c r="K34" s="6">
        <v>57739907</v>
      </c>
      <c r="L34" s="6">
        <v>20247089</v>
      </c>
      <c r="M34" s="6">
        <v>127690844</v>
      </c>
      <c r="N34" s="6">
        <v>848293493</v>
      </c>
      <c r="O34" s="6">
        <v>297375493</v>
      </c>
      <c r="P34" s="6">
        <v>4443564</v>
      </c>
      <c r="Q34" s="6">
        <v>25736924</v>
      </c>
      <c r="R34" s="6">
        <v>26003369</v>
      </c>
      <c r="S34" s="6">
        <v>496271</v>
      </c>
      <c r="T34" s="6">
        <v>1383253</v>
      </c>
      <c r="U34" s="6"/>
      <c r="V34" s="6"/>
      <c r="W34" s="6">
        <v>2125740557</v>
      </c>
      <c r="X34" s="6">
        <f>SUM(표1[[#This Row],[취사용]:[주한미군]])</f>
        <v>2125740557</v>
      </c>
      <c r="Y34" s="7">
        <f t="shared" si="0"/>
        <v>0</v>
      </c>
      <c r="AJ34"/>
    </row>
    <row r="35" spans="1:36" x14ac:dyDescent="0.3">
      <c r="A35" s="1">
        <v>43739</v>
      </c>
      <c r="B35" s="2">
        <v>2019</v>
      </c>
      <c r="C35" s="2">
        <v>10</v>
      </c>
      <c r="D35" s="2">
        <v>16.8</v>
      </c>
      <c r="E35" s="6">
        <v>31333821</v>
      </c>
      <c r="F35" s="6">
        <v>1104779454</v>
      </c>
      <c r="G35" s="6">
        <v>39512013</v>
      </c>
      <c r="H35" s="6">
        <v>11237341</v>
      </c>
      <c r="I35" s="6">
        <v>120149055</v>
      </c>
      <c r="J35" s="6">
        <v>55805733</v>
      </c>
      <c r="K35" s="6">
        <v>79021035</v>
      </c>
      <c r="L35" s="6">
        <v>33628273</v>
      </c>
      <c r="M35" s="6">
        <v>61294217</v>
      </c>
      <c r="N35" s="6">
        <v>981097097</v>
      </c>
      <c r="O35" s="6">
        <v>305477747</v>
      </c>
      <c r="P35" s="6">
        <v>4437645</v>
      </c>
      <c r="Q35" s="6">
        <v>29184166</v>
      </c>
      <c r="R35" s="6">
        <v>28253782</v>
      </c>
      <c r="S35" s="6">
        <v>395170</v>
      </c>
      <c r="T35" s="6">
        <v>2109302</v>
      </c>
      <c r="U35" s="6"/>
      <c r="V35" s="6"/>
      <c r="W35" s="6">
        <v>2887715853</v>
      </c>
      <c r="X35" s="6">
        <f>SUM(표1[[#This Row],[취사용]:[주한미군]])</f>
        <v>2887715851</v>
      </c>
      <c r="Y35" s="7">
        <f t="shared" si="0"/>
        <v>2</v>
      </c>
      <c r="AJ35"/>
    </row>
    <row r="36" spans="1:36" x14ac:dyDescent="0.3">
      <c r="A36" s="1">
        <v>43770</v>
      </c>
      <c r="B36" s="2">
        <v>2019</v>
      </c>
      <c r="C36" s="2">
        <v>11</v>
      </c>
      <c r="D36" s="2">
        <v>9.8000000000000007</v>
      </c>
      <c r="E36" s="6">
        <v>34020224</v>
      </c>
      <c r="F36" s="6">
        <v>2427048465</v>
      </c>
      <c r="G36" s="6">
        <v>82863575</v>
      </c>
      <c r="H36" s="6">
        <v>34274473</v>
      </c>
      <c r="I36" s="6">
        <v>131863390</v>
      </c>
      <c r="J36" s="6">
        <v>70499976</v>
      </c>
      <c r="K36" s="6">
        <v>120174336</v>
      </c>
      <c r="L36" s="6">
        <v>77778673</v>
      </c>
      <c r="M36" s="6">
        <v>71594346</v>
      </c>
      <c r="N36" s="6">
        <v>1100664730</v>
      </c>
      <c r="O36" s="6">
        <v>298750920</v>
      </c>
      <c r="P36" s="6">
        <v>3299684</v>
      </c>
      <c r="Q36" s="6">
        <v>31806926</v>
      </c>
      <c r="R36" s="6">
        <v>19772248</v>
      </c>
      <c r="S36" s="6">
        <v>3325211</v>
      </c>
      <c r="T36" s="6">
        <v>5600955</v>
      </c>
      <c r="U36" s="6"/>
      <c r="V36" s="6"/>
      <c r="W36" s="6">
        <v>4513338132</v>
      </c>
      <c r="X36" s="6">
        <f>SUM(표1[[#This Row],[취사용]:[주한미군]])</f>
        <v>4513338132</v>
      </c>
      <c r="Y36" s="7">
        <f t="shared" si="0"/>
        <v>0</v>
      </c>
      <c r="AJ36"/>
    </row>
    <row r="37" spans="1:36" x14ac:dyDescent="0.3">
      <c r="A37" s="1">
        <v>43800</v>
      </c>
      <c r="B37" s="2">
        <v>2019</v>
      </c>
      <c r="C37" s="2">
        <v>12</v>
      </c>
      <c r="D37" s="2">
        <v>3.5</v>
      </c>
      <c r="E37" s="6">
        <v>39353324</v>
      </c>
      <c r="F37" s="6">
        <v>4307302762</v>
      </c>
      <c r="G37" s="6">
        <v>129891755</v>
      </c>
      <c r="H37" s="6">
        <v>66470591</v>
      </c>
      <c r="I37" s="6">
        <v>149822358</v>
      </c>
      <c r="J37" s="6">
        <v>84178285</v>
      </c>
      <c r="K37" s="6">
        <v>178850563</v>
      </c>
      <c r="L37" s="6">
        <v>139029690</v>
      </c>
      <c r="M37" s="6">
        <v>156466825</v>
      </c>
      <c r="N37" s="6">
        <v>1063330771</v>
      </c>
      <c r="O37" s="6">
        <v>307238757</v>
      </c>
      <c r="P37" s="6">
        <v>1706827</v>
      </c>
      <c r="Q37" s="6">
        <v>35779131</v>
      </c>
      <c r="R37" s="6">
        <v>21020250</v>
      </c>
      <c r="S37" s="6">
        <v>1036278</v>
      </c>
      <c r="T37" s="6">
        <v>10653332</v>
      </c>
      <c r="U37" s="6"/>
      <c r="V37" s="6"/>
      <c r="W37" s="6">
        <v>6692131499</v>
      </c>
      <c r="X37" s="6">
        <f>SUM(표1[[#This Row],[취사용]:[주한미군]])</f>
        <v>6692131499</v>
      </c>
      <c r="Y37" s="7">
        <f t="shared" si="0"/>
        <v>0</v>
      </c>
      <c r="AJ37"/>
    </row>
    <row r="38" spans="1:36" x14ac:dyDescent="0.3">
      <c r="A38" s="1">
        <v>43831</v>
      </c>
      <c r="B38" s="2">
        <v>2020</v>
      </c>
      <c r="C38" s="2">
        <v>1</v>
      </c>
      <c r="D38" s="2">
        <v>3.8</v>
      </c>
      <c r="E38" s="6">
        <v>38055177</v>
      </c>
      <c r="F38" s="6">
        <v>4476324774</v>
      </c>
      <c r="G38" s="6">
        <v>125796800</v>
      </c>
      <c r="H38" s="6">
        <v>69901771</v>
      </c>
      <c r="I38" s="6">
        <v>136515055</v>
      </c>
      <c r="J38" s="6">
        <v>70585286</v>
      </c>
      <c r="K38" s="6">
        <v>180835137</v>
      </c>
      <c r="L38" s="6">
        <v>142826036</v>
      </c>
      <c r="M38" s="6">
        <v>158736548</v>
      </c>
      <c r="N38" s="6">
        <v>1075198401</v>
      </c>
      <c r="O38" s="6">
        <v>286035722</v>
      </c>
      <c r="P38" s="6">
        <v>0</v>
      </c>
      <c r="Q38" s="6">
        <v>38247656</v>
      </c>
      <c r="R38" s="6">
        <v>19217660</v>
      </c>
      <c r="S38" s="6">
        <v>5493035</v>
      </c>
      <c r="T38" s="6">
        <v>12536199</v>
      </c>
      <c r="U38" s="6"/>
      <c r="V38" s="6"/>
      <c r="W38" s="6">
        <v>6836305257</v>
      </c>
      <c r="X38" s="6">
        <f>SUM(표1[[#This Row],[취사용]:[주한미군]])</f>
        <v>6836305257</v>
      </c>
      <c r="Y38" s="7">
        <f t="shared" si="0"/>
        <v>0</v>
      </c>
      <c r="AJ38"/>
    </row>
    <row r="39" spans="1:36" x14ac:dyDescent="0.3">
      <c r="A39" s="1">
        <v>43862</v>
      </c>
      <c r="B39" s="2">
        <v>2020</v>
      </c>
      <c r="C39" s="2">
        <v>2</v>
      </c>
      <c r="D39" s="2">
        <v>4.9000000000000004</v>
      </c>
      <c r="E39" s="6">
        <v>37356255</v>
      </c>
      <c r="F39" s="6">
        <v>3803727439</v>
      </c>
      <c r="G39" s="6">
        <v>109039338</v>
      </c>
      <c r="H39" s="6">
        <v>58317094</v>
      </c>
      <c r="I39" s="6">
        <v>114263915</v>
      </c>
      <c r="J39" s="6">
        <v>49659880</v>
      </c>
      <c r="K39" s="6">
        <v>134106017</v>
      </c>
      <c r="L39" s="6">
        <v>118496355</v>
      </c>
      <c r="M39" s="6">
        <v>127356062</v>
      </c>
      <c r="N39" s="6">
        <v>1038417353</v>
      </c>
      <c r="O39" s="6">
        <v>267395025</v>
      </c>
      <c r="P39" s="6">
        <v>1126602</v>
      </c>
      <c r="Q39" s="6">
        <v>36206649</v>
      </c>
      <c r="R39" s="6">
        <v>2184132</v>
      </c>
      <c r="S39" s="6">
        <v>4444593</v>
      </c>
      <c r="T39" s="6">
        <v>9987745</v>
      </c>
      <c r="U39" s="6"/>
      <c r="V39" s="6"/>
      <c r="W39" s="6">
        <v>5912084455</v>
      </c>
      <c r="X39" s="6">
        <f>SUM(표1[[#This Row],[취사용]:[주한미군]])</f>
        <v>5912084454</v>
      </c>
      <c r="Y39" s="7">
        <f t="shared" si="0"/>
        <v>1</v>
      </c>
      <c r="AJ39"/>
    </row>
    <row r="40" spans="1:36" x14ac:dyDescent="0.3">
      <c r="A40" s="1">
        <v>43891</v>
      </c>
      <c r="B40" s="2">
        <v>2020</v>
      </c>
      <c r="C40" s="2">
        <v>3</v>
      </c>
      <c r="D40" s="2">
        <v>9.5</v>
      </c>
      <c r="E40" s="6">
        <v>37856956</v>
      </c>
      <c r="F40" s="6">
        <v>2877142295</v>
      </c>
      <c r="G40" s="6">
        <v>85476429</v>
      </c>
      <c r="H40" s="6">
        <v>43006445</v>
      </c>
      <c r="I40" s="6">
        <v>96434744</v>
      </c>
      <c r="J40" s="6">
        <v>37515109</v>
      </c>
      <c r="K40" s="6">
        <v>82611372</v>
      </c>
      <c r="L40" s="6">
        <v>80965078</v>
      </c>
      <c r="M40" s="6">
        <v>76802263</v>
      </c>
      <c r="N40" s="6">
        <v>1067947685</v>
      </c>
      <c r="O40" s="6">
        <v>252410540</v>
      </c>
      <c r="P40" s="6">
        <v>6637463</v>
      </c>
      <c r="Q40" s="6">
        <v>36555811</v>
      </c>
      <c r="R40" s="6">
        <v>2276923</v>
      </c>
      <c r="S40" s="6">
        <v>594526</v>
      </c>
      <c r="T40" s="6">
        <v>8706261</v>
      </c>
      <c r="U40" s="6"/>
      <c r="V40" s="6"/>
      <c r="W40" s="6">
        <v>4792939901</v>
      </c>
      <c r="X40" s="6">
        <f>SUM(표1[[#This Row],[취사용]:[주한미군]])</f>
        <v>4792939900</v>
      </c>
      <c r="Y40" s="7">
        <f t="shared" si="0"/>
        <v>1</v>
      </c>
      <c r="AJ40"/>
    </row>
    <row r="41" spans="1:36" x14ac:dyDescent="0.3">
      <c r="A41" s="1">
        <v>43922</v>
      </c>
      <c r="B41" s="2">
        <v>2020</v>
      </c>
      <c r="C41" s="2">
        <v>4</v>
      </c>
      <c r="D41" s="2">
        <v>12.6</v>
      </c>
      <c r="E41" s="6">
        <v>36147491</v>
      </c>
      <c r="F41" s="6">
        <v>2032119961</v>
      </c>
      <c r="G41" s="6">
        <v>56985809</v>
      </c>
      <c r="H41" s="6">
        <v>26389535</v>
      </c>
      <c r="I41" s="6">
        <v>101455806</v>
      </c>
      <c r="J41" s="6">
        <v>38246692</v>
      </c>
      <c r="K41" s="6">
        <v>73994220</v>
      </c>
      <c r="L41" s="6">
        <v>52918715</v>
      </c>
      <c r="M41" s="6">
        <v>44736916</v>
      </c>
      <c r="N41" s="6">
        <v>855230410</v>
      </c>
      <c r="O41" s="6">
        <v>243450503</v>
      </c>
      <c r="P41" s="6">
        <v>8406342</v>
      </c>
      <c r="Q41" s="6">
        <v>32777377</v>
      </c>
      <c r="R41" s="6">
        <v>2311338</v>
      </c>
      <c r="S41" s="6">
        <v>231465</v>
      </c>
      <c r="T41" s="6">
        <v>6188726</v>
      </c>
      <c r="U41" s="6"/>
      <c r="V41" s="6"/>
      <c r="W41" s="6">
        <v>3611591305</v>
      </c>
      <c r="X41" s="6">
        <f>SUM(표1[[#This Row],[취사용]:[주한미군]])</f>
        <v>3611591306</v>
      </c>
      <c r="Y41" s="7">
        <f t="shared" si="0"/>
        <v>-1</v>
      </c>
      <c r="AJ41"/>
    </row>
    <row r="42" spans="1:36" x14ac:dyDescent="0.3">
      <c r="A42" s="1">
        <v>43952</v>
      </c>
      <c r="B42" s="2">
        <v>2020</v>
      </c>
      <c r="C42" s="2">
        <v>5</v>
      </c>
      <c r="D42" s="2">
        <v>19.399999999999999</v>
      </c>
      <c r="E42" s="6">
        <v>29616607</v>
      </c>
      <c r="F42" s="6">
        <v>854241271</v>
      </c>
      <c r="G42" s="6">
        <v>27631270</v>
      </c>
      <c r="H42" s="6">
        <v>7645739</v>
      </c>
      <c r="I42" s="6">
        <v>104687259</v>
      </c>
      <c r="J42" s="6">
        <v>36244505</v>
      </c>
      <c r="K42" s="6">
        <v>61774035</v>
      </c>
      <c r="L42" s="6">
        <v>26731852</v>
      </c>
      <c r="M42" s="6">
        <v>57739807</v>
      </c>
      <c r="N42" s="6">
        <v>769003757</v>
      </c>
      <c r="O42" s="6">
        <v>268520835</v>
      </c>
      <c r="P42" s="6">
        <v>7190876</v>
      </c>
      <c r="Q42" s="6">
        <v>27263793</v>
      </c>
      <c r="R42" s="6">
        <v>2006623</v>
      </c>
      <c r="S42" s="6">
        <v>275852</v>
      </c>
      <c r="T42" s="6">
        <v>2254702</v>
      </c>
      <c r="U42" s="6"/>
      <c r="V42" s="6"/>
      <c r="W42" s="6">
        <v>2282828782</v>
      </c>
      <c r="X42" s="6">
        <f>SUM(표1[[#This Row],[취사용]:[주한미군]])</f>
        <v>2282828783</v>
      </c>
      <c r="Y42" s="7">
        <f t="shared" si="0"/>
        <v>-1</v>
      </c>
      <c r="AJ42"/>
    </row>
    <row r="43" spans="1:36" x14ac:dyDescent="0.3">
      <c r="A43" s="1">
        <v>43983</v>
      </c>
      <c r="B43" s="2">
        <v>2020</v>
      </c>
      <c r="C43" s="2">
        <v>6</v>
      </c>
      <c r="D43" s="2">
        <v>24.5</v>
      </c>
      <c r="E43" s="6">
        <v>29813482</v>
      </c>
      <c r="F43" s="6">
        <v>573876780</v>
      </c>
      <c r="G43" s="6">
        <v>20248955</v>
      </c>
      <c r="H43" s="6">
        <v>2530733</v>
      </c>
      <c r="I43" s="6">
        <v>113325283</v>
      </c>
      <c r="J43" s="6">
        <v>36969473</v>
      </c>
      <c r="K43" s="6">
        <v>57006621</v>
      </c>
      <c r="L43" s="6">
        <v>19952465</v>
      </c>
      <c r="M43" s="6">
        <v>108793529</v>
      </c>
      <c r="N43" s="6">
        <v>723212548</v>
      </c>
      <c r="O43" s="6">
        <v>281288203</v>
      </c>
      <c r="P43" s="6">
        <v>9890257</v>
      </c>
      <c r="Q43" s="6">
        <v>25667259</v>
      </c>
      <c r="R43" s="6">
        <v>2121393</v>
      </c>
      <c r="S43" s="6">
        <v>432758</v>
      </c>
      <c r="T43" s="6">
        <v>1618707</v>
      </c>
      <c r="U43" s="6"/>
      <c r="V43" s="6"/>
      <c r="W43" s="6">
        <v>2006748448</v>
      </c>
      <c r="X43" s="6">
        <f>SUM(표1[[#This Row],[취사용]:[주한미군]])</f>
        <v>2006748446</v>
      </c>
      <c r="Y43" s="7">
        <f t="shared" si="0"/>
        <v>2</v>
      </c>
      <c r="AJ43"/>
    </row>
    <row r="44" spans="1:36" x14ac:dyDescent="0.3">
      <c r="A44" s="1">
        <v>44013</v>
      </c>
      <c r="B44" s="2">
        <v>2020</v>
      </c>
      <c r="C44" s="2">
        <v>7</v>
      </c>
      <c r="D44" s="2">
        <v>23.2</v>
      </c>
      <c r="E44" s="6">
        <v>33078462</v>
      </c>
      <c r="F44" s="6">
        <v>576437374</v>
      </c>
      <c r="G44" s="6">
        <v>18887685</v>
      </c>
      <c r="H44" s="6">
        <v>2183784</v>
      </c>
      <c r="I44" s="6">
        <v>115901962</v>
      </c>
      <c r="J44" s="6">
        <v>45905077</v>
      </c>
      <c r="K44" s="6">
        <v>58491872</v>
      </c>
      <c r="L44" s="6">
        <v>21047303</v>
      </c>
      <c r="M44" s="6">
        <v>155406097</v>
      </c>
      <c r="N44" s="6">
        <v>820920458</v>
      </c>
      <c r="O44" s="6">
        <v>288717680</v>
      </c>
      <c r="P44" s="6">
        <v>11048739</v>
      </c>
      <c r="Q44" s="6">
        <v>26848851</v>
      </c>
      <c r="R44" s="6">
        <v>2270602</v>
      </c>
      <c r="S44" s="6">
        <v>588184</v>
      </c>
      <c r="T44" s="6">
        <v>1538579</v>
      </c>
      <c r="U44" s="6"/>
      <c r="V44" s="6"/>
      <c r="W44" s="6">
        <v>2179272709</v>
      </c>
      <c r="X44" s="6">
        <f>SUM(표1[[#This Row],[취사용]:[주한미군]])</f>
        <v>2179272709</v>
      </c>
      <c r="Y44" s="7">
        <f t="shared" si="0"/>
        <v>0</v>
      </c>
      <c r="AJ44"/>
    </row>
    <row r="45" spans="1:36" x14ac:dyDescent="0.3">
      <c r="A45" s="1">
        <v>44044</v>
      </c>
      <c r="B45" s="2">
        <v>2020</v>
      </c>
      <c r="C45" s="2">
        <v>8</v>
      </c>
      <c r="D45" s="2">
        <v>28.6</v>
      </c>
      <c r="E45" s="6">
        <v>30213739</v>
      </c>
      <c r="F45" s="6">
        <v>503968375</v>
      </c>
      <c r="G45" s="6">
        <v>15690231</v>
      </c>
      <c r="H45" s="6">
        <v>1971007</v>
      </c>
      <c r="I45" s="6">
        <v>103316914</v>
      </c>
      <c r="J45" s="6">
        <v>44674472</v>
      </c>
      <c r="K45" s="6">
        <v>53598404</v>
      </c>
      <c r="L45" s="6">
        <v>18806591</v>
      </c>
      <c r="M45" s="6">
        <v>173505908</v>
      </c>
      <c r="N45" s="6">
        <v>746991024</v>
      </c>
      <c r="O45" s="6">
        <v>291310941</v>
      </c>
      <c r="P45" s="6">
        <v>11226562</v>
      </c>
      <c r="Q45" s="6">
        <v>32402657</v>
      </c>
      <c r="R45" s="6">
        <v>2152246</v>
      </c>
      <c r="S45" s="6">
        <v>607048</v>
      </c>
      <c r="T45" s="6">
        <v>1334280</v>
      </c>
      <c r="U45" s="6"/>
      <c r="V45" s="6"/>
      <c r="W45" s="6">
        <v>2031770402</v>
      </c>
      <c r="X45" s="6">
        <f>SUM(표1[[#This Row],[취사용]:[주한미군]])</f>
        <v>2031770399</v>
      </c>
      <c r="Y45" s="7">
        <f t="shared" si="0"/>
        <v>3</v>
      </c>
      <c r="AJ45"/>
    </row>
    <row r="46" spans="1:36" x14ac:dyDescent="0.3">
      <c r="A46" s="1">
        <v>44075</v>
      </c>
      <c r="B46" s="2">
        <v>2020</v>
      </c>
      <c r="C46" s="2">
        <v>9</v>
      </c>
      <c r="D46" s="2">
        <v>21.2</v>
      </c>
      <c r="E46" s="6">
        <v>29645957</v>
      </c>
      <c r="F46" s="6">
        <v>621676440</v>
      </c>
      <c r="G46" s="6">
        <v>18085764</v>
      </c>
      <c r="H46" s="6">
        <v>2343860</v>
      </c>
      <c r="I46" s="6">
        <v>101660142</v>
      </c>
      <c r="J46" s="6">
        <v>41338732</v>
      </c>
      <c r="K46" s="6">
        <v>55517381</v>
      </c>
      <c r="L46" s="6">
        <v>19789130</v>
      </c>
      <c r="M46" s="6">
        <v>118996619</v>
      </c>
      <c r="N46" s="6">
        <v>861215816</v>
      </c>
      <c r="O46" s="6">
        <v>275710412</v>
      </c>
      <c r="P46" s="6">
        <v>10668751</v>
      </c>
      <c r="Q46" s="6">
        <v>25748971</v>
      </c>
      <c r="R46" s="6">
        <v>2776277</v>
      </c>
      <c r="S46" s="6">
        <v>568336</v>
      </c>
      <c r="T46" s="6">
        <v>1522247</v>
      </c>
      <c r="U46" s="6"/>
      <c r="V46" s="6"/>
      <c r="W46" s="6">
        <v>2187264835</v>
      </c>
      <c r="X46" s="6">
        <f>SUM(표1[[#This Row],[취사용]:[주한미군]])</f>
        <v>2187264835</v>
      </c>
      <c r="Y46" s="7">
        <f t="shared" si="0"/>
        <v>0</v>
      </c>
      <c r="AJ46"/>
    </row>
    <row r="47" spans="1:36" x14ac:dyDescent="0.3">
      <c r="A47" s="1">
        <v>44105</v>
      </c>
      <c r="B47" s="2">
        <v>2020</v>
      </c>
      <c r="C47" s="2">
        <v>10</v>
      </c>
      <c r="D47" s="2">
        <v>15.4</v>
      </c>
      <c r="E47" s="6">
        <v>32303198</v>
      </c>
      <c r="F47" s="6">
        <v>1305125712</v>
      </c>
      <c r="G47" s="6">
        <v>41396117</v>
      </c>
      <c r="H47" s="6">
        <v>11774230</v>
      </c>
      <c r="I47" s="6">
        <v>119539252</v>
      </c>
      <c r="J47" s="6">
        <v>50332973</v>
      </c>
      <c r="K47" s="6">
        <v>77933428</v>
      </c>
      <c r="L47" s="6">
        <v>37097848</v>
      </c>
      <c r="M47" s="6">
        <v>44409801</v>
      </c>
      <c r="N47" s="6">
        <v>922430367</v>
      </c>
      <c r="O47" s="6">
        <v>272595166</v>
      </c>
      <c r="P47" s="6">
        <v>10193438</v>
      </c>
      <c r="Q47" s="6">
        <v>30862443</v>
      </c>
      <c r="R47" s="6">
        <v>4886179</v>
      </c>
      <c r="S47" s="6">
        <v>850035</v>
      </c>
      <c r="T47" s="6">
        <v>2954930</v>
      </c>
      <c r="U47" s="6"/>
      <c r="V47" s="6"/>
      <c r="W47" s="6">
        <v>2964685118</v>
      </c>
      <c r="X47" s="6">
        <f>SUM(표1[[#This Row],[취사용]:[주한미군]])</f>
        <v>2964685117</v>
      </c>
      <c r="Y47" s="7">
        <f t="shared" si="0"/>
        <v>1</v>
      </c>
      <c r="AJ47"/>
    </row>
    <row r="48" spans="1:36" x14ac:dyDescent="0.3">
      <c r="A48" s="1">
        <v>44136</v>
      </c>
      <c r="B48" s="2">
        <v>2020</v>
      </c>
      <c r="C48" s="2">
        <v>11</v>
      </c>
      <c r="D48" s="2">
        <v>9.6999999999999993</v>
      </c>
      <c r="E48" s="6">
        <v>33652181</v>
      </c>
      <c r="F48" s="6">
        <v>2638091057</v>
      </c>
      <c r="G48" s="6">
        <v>81968049</v>
      </c>
      <c r="H48" s="6">
        <v>33301309</v>
      </c>
      <c r="I48" s="6">
        <v>130018353</v>
      </c>
      <c r="J48" s="6">
        <v>63512945</v>
      </c>
      <c r="K48" s="6">
        <v>109454177</v>
      </c>
      <c r="L48" s="6">
        <v>77862996</v>
      </c>
      <c r="M48" s="6">
        <v>72576300</v>
      </c>
      <c r="N48" s="6">
        <v>1000673308</v>
      </c>
      <c r="O48" s="6">
        <v>273210115</v>
      </c>
      <c r="P48" s="6">
        <v>10193020</v>
      </c>
      <c r="Q48" s="6">
        <v>30709920</v>
      </c>
      <c r="R48" s="6">
        <v>6679062</v>
      </c>
      <c r="S48" s="6">
        <v>458645</v>
      </c>
      <c r="T48" s="6">
        <v>5889194</v>
      </c>
      <c r="U48" s="6"/>
      <c r="V48" s="6"/>
      <c r="W48" s="6">
        <v>4568250631</v>
      </c>
      <c r="X48" s="6">
        <f>SUM(표1[[#This Row],[취사용]:[주한미군]])</f>
        <v>4568250631</v>
      </c>
      <c r="Y48" s="7">
        <f t="shared" si="0"/>
        <v>0</v>
      </c>
      <c r="AJ48"/>
    </row>
    <row r="49" spans="1:36" x14ac:dyDescent="0.3">
      <c r="A49" s="1">
        <v>44166</v>
      </c>
      <c r="B49" s="2">
        <v>2020</v>
      </c>
      <c r="C49" s="2">
        <v>12</v>
      </c>
      <c r="D49" s="2">
        <v>1.6</v>
      </c>
      <c r="E49" s="6">
        <v>38826745</v>
      </c>
      <c r="F49" s="6">
        <v>5042963793</v>
      </c>
      <c r="G49" s="6">
        <v>132528120</v>
      </c>
      <c r="H49" s="6">
        <v>70609913</v>
      </c>
      <c r="I49" s="6">
        <v>138675922</v>
      </c>
      <c r="J49" s="6">
        <v>76012108</v>
      </c>
      <c r="K49" s="6">
        <v>154400019</v>
      </c>
      <c r="L49" s="6">
        <v>148545806</v>
      </c>
      <c r="M49" s="6">
        <v>175825555</v>
      </c>
      <c r="N49" s="6">
        <v>1119801159</v>
      </c>
      <c r="O49" s="6">
        <v>282702549</v>
      </c>
      <c r="P49" s="6">
        <v>10047693</v>
      </c>
      <c r="Q49" s="6">
        <v>35223660</v>
      </c>
      <c r="R49" s="6">
        <v>7345969</v>
      </c>
      <c r="S49" s="6">
        <v>602610</v>
      </c>
      <c r="T49" s="6">
        <v>12174238</v>
      </c>
      <c r="U49" s="6"/>
      <c r="V49" s="6"/>
      <c r="W49" s="6">
        <v>7446285858</v>
      </c>
      <c r="X49" s="6">
        <f>SUM(표1[[#This Row],[취사용]:[주한미군]])</f>
        <v>7446285859</v>
      </c>
      <c r="Y49" s="7">
        <f t="shared" si="0"/>
        <v>-1</v>
      </c>
      <c r="AJ49"/>
    </row>
    <row r="50" spans="1:36" x14ac:dyDescent="0.3">
      <c r="A50" s="1">
        <v>44197</v>
      </c>
      <c r="B50" s="2">
        <v>2021</v>
      </c>
      <c r="C50" s="2">
        <v>1</v>
      </c>
      <c r="D50" s="2">
        <v>0.5</v>
      </c>
      <c r="E50" s="8">
        <v>37881146</v>
      </c>
      <c r="F50" s="8">
        <v>5578371853</v>
      </c>
      <c r="G50" s="8">
        <v>142220911</v>
      </c>
      <c r="H50" s="8">
        <v>83226385</v>
      </c>
      <c r="I50" s="8">
        <v>129817362</v>
      </c>
      <c r="J50" s="6">
        <v>68003089</v>
      </c>
      <c r="K50" s="8">
        <v>164226736</v>
      </c>
      <c r="L50" s="8">
        <v>174688867</v>
      </c>
      <c r="M50" s="8">
        <v>204247703</v>
      </c>
      <c r="N50" s="8">
        <v>1099355877</v>
      </c>
      <c r="O50" s="8">
        <v>272047949</v>
      </c>
      <c r="P50" s="8">
        <v>5018602</v>
      </c>
      <c r="Q50" s="8">
        <v>36574665</v>
      </c>
      <c r="R50" s="8">
        <v>7270870</v>
      </c>
      <c r="S50" s="8">
        <v>2715959</v>
      </c>
      <c r="T50" s="8">
        <v>12985398</v>
      </c>
      <c r="U50" s="8"/>
      <c r="V50" s="8"/>
      <c r="W50" s="8">
        <v>8018653372</v>
      </c>
      <c r="X50" s="6">
        <f>SUM(표1[[#This Row],[취사용]:[주한미군]])</f>
        <v>8018653372</v>
      </c>
      <c r="Y50" s="9">
        <f t="shared" si="0"/>
        <v>0</v>
      </c>
      <c r="AJ50"/>
    </row>
    <row r="51" spans="1:36" x14ac:dyDescent="0.3">
      <c r="A51" s="1">
        <v>44228</v>
      </c>
      <c r="B51" s="2">
        <v>2021</v>
      </c>
      <c r="C51" s="2">
        <v>2</v>
      </c>
      <c r="D51" s="2">
        <v>4.8</v>
      </c>
      <c r="E51" s="6">
        <v>31100782</v>
      </c>
      <c r="F51" s="6">
        <v>3910626386</v>
      </c>
      <c r="G51" s="6">
        <v>109147174</v>
      </c>
      <c r="H51" s="6">
        <v>56216629</v>
      </c>
      <c r="I51" s="6">
        <v>121060368</v>
      </c>
      <c r="J51" s="6">
        <v>52098500</v>
      </c>
      <c r="K51" s="6">
        <v>130920309</v>
      </c>
      <c r="L51" s="6">
        <v>123794014</v>
      </c>
      <c r="M51" s="6">
        <v>132507992</v>
      </c>
      <c r="N51" s="6">
        <v>913742987</v>
      </c>
      <c r="O51" s="6">
        <v>236549584</v>
      </c>
      <c r="P51" s="6">
        <v>8117956</v>
      </c>
      <c r="Q51" s="6">
        <v>31777680</v>
      </c>
      <c r="R51" s="6">
        <v>6515602</v>
      </c>
      <c r="S51" s="6">
        <v>4124309</v>
      </c>
      <c r="T51" s="6">
        <v>10716002</v>
      </c>
      <c r="U51" s="6"/>
      <c r="V51" s="6"/>
      <c r="W51" s="6">
        <v>5879016274</v>
      </c>
      <c r="X51" s="6">
        <f>SUM(표1[[#This Row],[취사용]:[주한미군]])</f>
        <v>5879016274</v>
      </c>
      <c r="Y51" s="7">
        <f t="shared" si="0"/>
        <v>0</v>
      </c>
      <c r="AJ51"/>
    </row>
    <row r="52" spans="1:36" x14ac:dyDescent="0.3">
      <c r="A52" s="1">
        <v>44256</v>
      </c>
      <c r="B52" s="2">
        <v>2021</v>
      </c>
      <c r="C52" s="2">
        <v>3</v>
      </c>
      <c r="D52" s="2">
        <v>10.199999999999999</v>
      </c>
      <c r="E52" s="6">
        <v>32091272</v>
      </c>
      <c r="F52" s="6">
        <v>2886605426</v>
      </c>
      <c r="G52" s="6">
        <v>94580100</v>
      </c>
      <c r="H52" s="6">
        <v>39345695</v>
      </c>
      <c r="I52" s="6">
        <v>145739282</v>
      </c>
      <c r="J52" s="6">
        <v>59853713</v>
      </c>
      <c r="K52" s="6">
        <v>119071739</v>
      </c>
      <c r="L52" s="6">
        <v>93473773</v>
      </c>
      <c r="M52" s="6">
        <v>82909742</v>
      </c>
      <c r="N52" s="6">
        <v>1038244133</v>
      </c>
      <c r="O52" s="6">
        <v>273793555</v>
      </c>
      <c r="P52" s="6">
        <v>9481137</v>
      </c>
      <c r="Q52" s="6">
        <v>33162388</v>
      </c>
      <c r="R52" s="6">
        <v>7806051</v>
      </c>
      <c r="S52" s="6">
        <v>3597987</v>
      </c>
      <c r="T52" s="6">
        <v>8789705</v>
      </c>
      <c r="U52" s="6"/>
      <c r="V52" s="6"/>
      <c r="W52" s="6">
        <v>4928545698</v>
      </c>
      <c r="X52" s="6">
        <f>SUM(표1[[#This Row],[취사용]:[주한미군]])</f>
        <v>4928545698</v>
      </c>
      <c r="Y52" s="7">
        <f t="shared" si="0"/>
        <v>0</v>
      </c>
      <c r="AJ52"/>
    </row>
    <row r="53" spans="1:36" x14ac:dyDescent="0.3">
      <c r="A53" s="1">
        <v>44287</v>
      </c>
      <c r="B53" s="2">
        <v>2021</v>
      </c>
      <c r="C53" s="2">
        <v>4</v>
      </c>
      <c r="D53" s="2">
        <v>14.5</v>
      </c>
      <c r="E53" s="6">
        <v>28254337</v>
      </c>
      <c r="F53" s="6">
        <v>1638301265</v>
      </c>
      <c r="G53" s="6">
        <v>55778555</v>
      </c>
      <c r="H53" s="6">
        <v>18698266</v>
      </c>
      <c r="I53" s="6">
        <v>122772227</v>
      </c>
      <c r="J53" s="6">
        <v>65683400</v>
      </c>
      <c r="K53" s="6">
        <v>83585963</v>
      </c>
      <c r="L53" s="6">
        <v>54555716</v>
      </c>
      <c r="M53" s="6">
        <v>38063306</v>
      </c>
      <c r="N53" s="6">
        <v>1027398213</v>
      </c>
      <c r="O53" s="6">
        <v>264160162</v>
      </c>
      <c r="P53" s="6">
        <v>10198333</v>
      </c>
      <c r="Q53" s="6">
        <v>29797185</v>
      </c>
      <c r="R53" s="6">
        <v>7920683</v>
      </c>
      <c r="S53" s="6">
        <v>3998275</v>
      </c>
      <c r="T53" s="6">
        <v>2340806</v>
      </c>
      <c r="U53" s="6"/>
      <c r="V53" s="6"/>
      <c r="W53" s="6">
        <v>3451506692</v>
      </c>
      <c r="X53" s="6">
        <f>SUM(표1[[#This Row],[취사용]:[주한미군]])</f>
        <v>3451506692</v>
      </c>
      <c r="Y53" s="7">
        <f t="shared" si="0"/>
        <v>0</v>
      </c>
      <c r="AJ53"/>
    </row>
    <row r="54" spans="1:36" x14ac:dyDescent="0.3">
      <c r="A54" s="1">
        <v>44317</v>
      </c>
      <c r="B54" s="2">
        <v>2021</v>
      </c>
      <c r="C54" s="2">
        <v>5</v>
      </c>
      <c r="D54" s="2">
        <v>18.3</v>
      </c>
      <c r="E54" s="6">
        <v>27909101</v>
      </c>
      <c r="F54" s="6">
        <v>1023888496</v>
      </c>
      <c r="G54" s="6">
        <v>31539937</v>
      </c>
      <c r="H54" s="6">
        <v>9454083</v>
      </c>
      <c r="I54" s="6">
        <v>114699388</v>
      </c>
      <c r="J54" s="6">
        <v>66066404</v>
      </c>
      <c r="K54" s="6">
        <v>67359998</v>
      </c>
      <c r="L54" s="6">
        <v>35948485</v>
      </c>
      <c r="M54" s="6">
        <v>56872860</v>
      </c>
      <c r="N54" s="6">
        <v>974220268</v>
      </c>
      <c r="O54" s="6">
        <v>266066018</v>
      </c>
      <c r="P54" s="6">
        <v>13828803</v>
      </c>
      <c r="Q54" s="6">
        <v>26181373</v>
      </c>
      <c r="R54" s="6">
        <v>8090534</v>
      </c>
      <c r="S54" s="6">
        <v>407516</v>
      </c>
      <c r="T54" s="6">
        <v>1730848</v>
      </c>
      <c r="U54" s="6"/>
      <c r="V54" s="6"/>
      <c r="W54" s="6">
        <v>2724264112</v>
      </c>
      <c r="X54" s="6">
        <f>SUM(표1[[#This Row],[취사용]:[주한미군]])</f>
        <v>2724264112</v>
      </c>
      <c r="Y54" s="7">
        <f t="shared" si="0"/>
        <v>0</v>
      </c>
      <c r="AJ54"/>
    </row>
    <row r="55" spans="1:36" x14ac:dyDescent="0.3">
      <c r="A55" s="1">
        <v>44348</v>
      </c>
      <c r="B55" s="2">
        <v>2021</v>
      </c>
      <c r="C55" s="2">
        <v>6</v>
      </c>
      <c r="D55" s="2">
        <v>23.2</v>
      </c>
      <c r="E55" s="6">
        <v>26594544</v>
      </c>
      <c r="F55" s="6">
        <v>586877288</v>
      </c>
      <c r="G55" s="6">
        <v>20782117</v>
      </c>
      <c r="H55" s="6">
        <v>4395524</v>
      </c>
      <c r="I55" s="6">
        <v>108422234</v>
      </c>
      <c r="J55" s="6">
        <v>55825750</v>
      </c>
      <c r="K55" s="6">
        <v>54067538</v>
      </c>
      <c r="L55" s="6">
        <v>24410170</v>
      </c>
      <c r="M55" s="6">
        <v>115310547</v>
      </c>
      <c r="N55" s="6">
        <v>927037265</v>
      </c>
      <c r="O55" s="6">
        <v>272760625</v>
      </c>
      <c r="P55" s="6">
        <v>12331991</v>
      </c>
      <c r="Q55" s="6">
        <v>22719233</v>
      </c>
      <c r="R55" s="6">
        <v>7843806</v>
      </c>
      <c r="S55" s="6">
        <v>357818</v>
      </c>
      <c r="T55" s="6">
        <v>1623621</v>
      </c>
      <c r="U55" s="6"/>
      <c r="V55" s="6"/>
      <c r="W55" s="6">
        <v>2241360071</v>
      </c>
      <c r="X55" s="6">
        <f>SUM(표1[[#This Row],[취사용]:[주한미군]])</f>
        <v>2241360071</v>
      </c>
      <c r="Y55" s="7">
        <f t="shared" si="0"/>
        <v>0</v>
      </c>
      <c r="AJ55"/>
    </row>
    <row r="56" spans="1:36" x14ac:dyDescent="0.3">
      <c r="A56" s="1">
        <v>44378</v>
      </c>
      <c r="B56" s="2">
        <v>2021</v>
      </c>
      <c r="C56" s="2">
        <v>7</v>
      </c>
      <c r="D56" s="2">
        <v>26.9</v>
      </c>
      <c r="E56" s="6">
        <v>28608593</v>
      </c>
      <c r="F56" s="6">
        <v>468116042</v>
      </c>
      <c r="G56" s="6">
        <v>15270659</v>
      </c>
      <c r="H56" s="6">
        <v>2507635</v>
      </c>
      <c r="I56" s="6">
        <v>100108690</v>
      </c>
      <c r="J56" s="6">
        <v>49953847</v>
      </c>
      <c r="K56" s="6">
        <v>47942950</v>
      </c>
      <c r="L56" s="6">
        <v>21178799</v>
      </c>
      <c r="M56" s="6">
        <v>189156246</v>
      </c>
      <c r="N56" s="6">
        <v>920014557</v>
      </c>
      <c r="O56" s="6">
        <v>283209823</v>
      </c>
      <c r="P56" s="6">
        <v>17948379</v>
      </c>
      <c r="Q56" s="6">
        <v>22346731</v>
      </c>
      <c r="R56" s="6">
        <v>8521186</v>
      </c>
      <c r="S56" s="6">
        <v>435009</v>
      </c>
      <c r="T56" s="6">
        <v>1282412</v>
      </c>
      <c r="U56" s="6"/>
      <c r="V56" s="6"/>
      <c r="W56" s="6">
        <v>2176601558</v>
      </c>
      <c r="X56" s="6">
        <f>SUM(표1[[#This Row],[취사용]:[주한미군]])</f>
        <v>2176601558</v>
      </c>
      <c r="Y56" s="7">
        <f t="shared" si="0"/>
        <v>0</v>
      </c>
      <c r="AJ56"/>
    </row>
    <row r="57" spans="1:36" x14ac:dyDescent="0.3">
      <c r="A57" s="1">
        <v>44409</v>
      </c>
      <c r="B57" s="2">
        <v>2021</v>
      </c>
      <c r="C57" s="2">
        <v>8</v>
      </c>
      <c r="D57" s="2">
        <v>25.7</v>
      </c>
      <c r="E57" s="6">
        <v>27434395</v>
      </c>
      <c r="F57" s="6">
        <v>441157707</v>
      </c>
      <c r="G57" s="6">
        <v>13280100</v>
      </c>
      <c r="H57" s="6">
        <v>1841784</v>
      </c>
      <c r="I57" s="6">
        <v>101296727</v>
      </c>
      <c r="J57" s="6">
        <v>41508726</v>
      </c>
      <c r="K57" s="6">
        <v>43739759</v>
      </c>
      <c r="L57" s="6">
        <v>19563881</v>
      </c>
      <c r="M57" s="6">
        <v>180680380</v>
      </c>
      <c r="N57" s="6">
        <v>810944169</v>
      </c>
      <c r="O57" s="6">
        <v>273968991</v>
      </c>
      <c r="P57" s="6">
        <v>16612614</v>
      </c>
      <c r="Q57" s="6">
        <v>24841149</v>
      </c>
      <c r="R57" s="6">
        <v>8262747</v>
      </c>
      <c r="S57" s="6">
        <v>313966</v>
      </c>
      <c r="T57" s="6">
        <v>1384198</v>
      </c>
      <c r="U57" s="6"/>
      <c r="V57" s="6"/>
      <c r="W57" s="6">
        <v>2006831293</v>
      </c>
      <c r="X57" s="6">
        <f>SUM(표1[[#This Row],[취사용]:[주한미군]])</f>
        <v>2006831293</v>
      </c>
      <c r="Y57" s="7">
        <f t="shared" si="0"/>
        <v>0</v>
      </c>
      <c r="AJ57"/>
    </row>
    <row r="58" spans="1:36" x14ac:dyDescent="0.3">
      <c r="A58" s="1">
        <v>44440</v>
      </c>
      <c r="B58" s="2">
        <v>2021</v>
      </c>
      <c r="C58" s="2">
        <v>9</v>
      </c>
      <c r="D58" s="2">
        <v>22.1</v>
      </c>
      <c r="E58" s="6">
        <v>26388598</v>
      </c>
      <c r="F58" s="6">
        <v>564114783</v>
      </c>
      <c r="G58" s="6">
        <v>17046894</v>
      </c>
      <c r="H58" s="6">
        <v>2282145</v>
      </c>
      <c r="I58" s="6">
        <v>106809863</v>
      </c>
      <c r="J58" s="6">
        <v>39714069</v>
      </c>
      <c r="K58" s="6">
        <v>47471290</v>
      </c>
      <c r="L58" s="6">
        <v>20167655</v>
      </c>
      <c r="M58" s="6">
        <v>114494184</v>
      </c>
      <c r="N58" s="6">
        <v>836890418</v>
      </c>
      <c r="O58" s="6">
        <v>263597241</v>
      </c>
      <c r="P58" s="6">
        <v>11931348</v>
      </c>
      <c r="Q58" s="6">
        <v>22530648</v>
      </c>
      <c r="R58" s="6">
        <v>7815627</v>
      </c>
      <c r="S58" s="6">
        <v>151303</v>
      </c>
      <c r="T58" s="6">
        <v>1240224</v>
      </c>
      <c r="U58" s="6"/>
      <c r="V58" s="6"/>
      <c r="W58" s="6">
        <v>2082646290</v>
      </c>
      <c r="X58" s="6">
        <f>SUM(표1[[#This Row],[취사용]:[주한미군]])</f>
        <v>2082646290</v>
      </c>
      <c r="Y58" s="7">
        <f t="shared" si="0"/>
        <v>0</v>
      </c>
      <c r="AJ58"/>
    </row>
    <row r="59" spans="1:36" x14ac:dyDescent="0.3">
      <c r="A59" s="1">
        <v>44470</v>
      </c>
      <c r="B59" s="2">
        <v>2021</v>
      </c>
      <c r="C59" s="2">
        <v>10</v>
      </c>
      <c r="D59" s="2">
        <v>16.5</v>
      </c>
      <c r="E59" s="6">
        <v>28820291</v>
      </c>
      <c r="F59" s="6">
        <v>1287742681</v>
      </c>
      <c r="G59" s="6">
        <v>37946719</v>
      </c>
      <c r="H59" s="6">
        <v>10994498</v>
      </c>
      <c r="I59" s="6">
        <v>117072093</v>
      </c>
      <c r="J59" s="6">
        <v>52090341</v>
      </c>
      <c r="K59" s="6">
        <v>67358197</v>
      </c>
      <c r="L59" s="6">
        <v>37950218</v>
      </c>
      <c r="M59" s="6">
        <v>72906641</v>
      </c>
      <c r="N59" s="6">
        <v>999801097</v>
      </c>
      <c r="O59" s="6">
        <v>273628797</v>
      </c>
      <c r="P59" s="6">
        <v>9770812</v>
      </c>
      <c r="Q59" s="6">
        <v>25442974</v>
      </c>
      <c r="R59" s="6">
        <v>8384307</v>
      </c>
      <c r="S59" s="6">
        <v>151632</v>
      </c>
      <c r="T59" s="6">
        <v>2689848</v>
      </c>
      <c r="U59" s="6"/>
      <c r="V59" s="6"/>
      <c r="W59" s="6">
        <v>3032751146</v>
      </c>
      <c r="X59" s="6">
        <f>SUM(표1[[#This Row],[취사용]:[주한미군]])</f>
        <v>3032751146</v>
      </c>
      <c r="Y59" s="7">
        <f t="shared" si="0"/>
        <v>0</v>
      </c>
      <c r="AJ59"/>
    </row>
    <row r="60" spans="1:36" x14ac:dyDescent="0.3">
      <c r="A60" s="1">
        <v>44501</v>
      </c>
      <c r="B60" s="2">
        <v>2021</v>
      </c>
      <c r="C60" s="2">
        <v>11</v>
      </c>
      <c r="D60" s="2">
        <v>9.5</v>
      </c>
      <c r="E60" s="6">
        <v>29597507</v>
      </c>
      <c r="F60" s="6">
        <v>2754097732</v>
      </c>
      <c r="G60" s="6">
        <v>79151456</v>
      </c>
      <c r="H60" s="6">
        <v>36154782</v>
      </c>
      <c r="I60" s="6">
        <v>131090578</v>
      </c>
      <c r="J60" s="6">
        <v>65676969</v>
      </c>
      <c r="K60" s="6">
        <v>102097578</v>
      </c>
      <c r="L60" s="6">
        <v>83883739</v>
      </c>
      <c r="M60" s="6">
        <v>78397295</v>
      </c>
      <c r="N60" s="6">
        <v>996235904</v>
      </c>
      <c r="O60" s="6">
        <v>267369869</v>
      </c>
      <c r="P60" s="6">
        <v>10548167</v>
      </c>
      <c r="Q60" s="6">
        <v>24775070</v>
      </c>
      <c r="R60" s="6">
        <v>8710877</v>
      </c>
      <c r="S60" s="6">
        <v>313124</v>
      </c>
      <c r="T60" s="6">
        <v>6913831</v>
      </c>
      <c r="U60" s="6"/>
      <c r="V60" s="6"/>
      <c r="W60" s="6">
        <v>4675014478</v>
      </c>
      <c r="X60" s="6">
        <f>SUM(표1[[#This Row],[취사용]:[주한미군]])</f>
        <v>4675014478</v>
      </c>
      <c r="Y60" s="7">
        <f t="shared" si="0"/>
        <v>0</v>
      </c>
      <c r="AJ60"/>
    </row>
    <row r="61" spans="1:36" x14ac:dyDescent="0.3">
      <c r="A61" s="1">
        <v>44531</v>
      </c>
      <c r="B61" s="2">
        <v>2021</v>
      </c>
      <c r="C61" s="2">
        <v>12</v>
      </c>
      <c r="D61" s="2">
        <v>3.1</v>
      </c>
      <c r="E61" s="6">
        <v>33513133</v>
      </c>
      <c r="F61" s="6">
        <v>4782165890</v>
      </c>
      <c r="G61" s="6">
        <v>113901583</v>
      </c>
      <c r="H61" s="6">
        <v>69501660</v>
      </c>
      <c r="I61" s="6">
        <v>141954447</v>
      </c>
      <c r="J61" s="6">
        <v>77834256</v>
      </c>
      <c r="K61" s="6">
        <v>147679584</v>
      </c>
      <c r="L61" s="6">
        <v>144431027</v>
      </c>
      <c r="M61" s="6">
        <v>163077898</v>
      </c>
      <c r="N61" s="6">
        <v>1099455239</v>
      </c>
      <c r="O61" s="6">
        <v>288948211</v>
      </c>
      <c r="P61" s="6">
        <v>457032</v>
      </c>
      <c r="Q61" s="6">
        <v>25062496</v>
      </c>
      <c r="R61" s="6">
        <v>9019103</v>
      </c>
      <c r="S61" s="6">
        <v>8457672</v>
      </c>
      <c r="T61" s="6">
        <v>12093975</v>
      </c>
      <c r="U61" s="6"/>
      <c r="V61" s="6"/>
      <c r="W61" s="6">
        <v>7117553206</v>
      </c>
      <c r="X61" s="6">
        <f>SUM(표1[[#This Row],[취사용]:[주한미군]])</f>
        <v>7117553206</v>
      </c>
      <c r="Y61" s="7">
        <f t="shared" si="0"/>
        <v>0</v>
      </c>
      <c r="AJ61"/>
    </row>
    <row r="62" spans="1:36" x14ac:dyDescent="0.3">
      <c r="A62" s="1">
        <v>44562</v>
      </c>
      <c r="B62" s="2">
        <v>2022</v>
      </c>
      <c r="C62" s="2">
        <v>1</v>
      </c>
      <c r="D62" s="2">
        <v>0.9</v>
      </c>
      <c r="E62" s="6">
        <v>32932076</v>
      </c>
      <c r="F62" s="6">
        <v>5435178845</v>
      </c>
      <c r="G62" s="6">
        <v>121706391</v>
      </c>
      <c r="H62" s="6">
        <v>82947436</v>
      </c>
      <c r="I62" s="6">
        <v>121125814</v>
      </c>
      <c r="J62" s="6">
        <v>76518058</v>
      </c>
      <c r="K62" s="6">
        <v>153313650</v>
      </c>
      <c r="L62" s="6">
        <v>161477582</v>
      </c>
      <c r="M62" s="6">
        <v>188219256</v>
      </c>
      <c r="N62" s="6">
        <v>1050754076</v>
      </c>
      <c r="O62" s="6">
        <v>275511895</v>
      </c>
      <c r="P62" s="6">
        <v>0</v>
      </c>
      <c r="Q62" s="6">
        <v>28289708</v>
      </c>
      <c r="R62" s="6">
        <v>8128411</v>
      </c>
      <c r="S62" s="6">
        <v>11590552</v>
      </c>
      <c r="T62" s="6">
        <v>11454999</v>
      </c>
      <c r="U62" s="6"/>
      <c r="V62" s="6"/>
      <c r="W62" s="6">
        <v>7759148749</v>
      </c>
      <c r="X62" s="6">
        <f>SUM(표1[[#This Row],[취사용]:[주한미군]])</f>
        <v>7759148749</v>
      </c>
      <c r="Y62" s="7">
        <f t="shared" si="0"/>
        <v>0</v>
      </c>
      <c r="AJ62"/>
    </row>
    <row r="63" spans="1:36" x14ac:dyDescent="0.3">
      <c r="A63" s="1">
        <v>44593</v>
      </c>
      <c r="B63" s="2">
        <v>2022</v>
      </c>
      <c r="C63" s="2">
        <v>2</v>
      </c>
      <c r="D63" s="2">
        <v>1.6</v>
      </c>
      <c r="E63" s="6">
        <v>31098848</v>
      </c>
      <c r="F63" s="6">
        <v>4730847356</v>
      </c>
      <c r="G63" s="6">
        <v>114410703</v>
      </c>
      <c r="H63" s="6">
        <v>72575294</v>
      </c>
      <c r="I63" s="6">
        <v>115532855</v>
      </c>
      <c r="J63" s="6">
        <v>71963821</v>
      </c>
      <c r="K63" s="6">
        <v>135874754</v>
      </c>
      <c r="L63" s="6">
        <v>141351197</v>
      </c>
      <c r="M63" s="6">
        <v>159533513</v>
      </c>
      <c r="N63" s="6">
        <v>956192949</v>
      </c>
      <c r="O63" s="6">
        <v>248454799</v>
      </c>
      <c r="P63" s="6">
        <v>2748716</v>
      </c>
      <c r="Q63" s="6">
        <v>25455525</v>
      </c>
      <c r="R63" s="6">
        <v>8069762</v>
      </c>
      <c r="S63" s="6">
        <v>9083253</v>
      </c>
      <c r="T63" s="6">
        <v>12782962</v>
      </c>
      <c r="U63" s="6"/>
      <c r="V63" s="6"/>
      <c r="W63" s="6">
        <v>6835976307</v>
      </c>
      <c r="X63" s="6">
        <f>SUM(표1[[#This Row],[취사용]:[주한미군]])</f>
        <v>6835976307</v>
      </c>
      <c r="Y63" s="7">
        <f t="shared" si="0"/>
        <v>0</v>
      </c>
      <c r="AJ63"/>
    </row>
    <row r="64" spans="1:36" x14ac:dyDescent="0.3">
      <c r="A64" s="1">
        <v>44621</v>
      </c>
      <c r="B64" s="2">
        <v>2022</v>
      </c>
      <c r="C64" s="2">
        <v>3</v>
      </c>
      <c r="D64" s="2">
        <v>9.6999999999999993</v>
      </c>
      <c r="E64" s="6">
        <v>29130822</v>
      </c>
      <c r="F64" s="6">
        <v>3076001363</v>
      </c>
      <c r="G64" s="6">
        <v>90459338</v>
      </c>
      <c r="H64" s="6">
        <v>48263019</v>
      </c>
      <c r="I64" s="6">
        <v>143670606</v>
      </c>
      <c r="J64" s="6">
        <v>63072217</v>
      </c>
      <c r="K64" s="6">
        <v>114045128</v>
      </c>
      <c r="L64" s="6">
        <v>97464908</v>
      </c>
      <c r="M64" s="6">
        <v>97149142</v>
      </c>
      <c r="N64" s="6">
        <v>1017149615</v>
      </c>
      <c r="O64" s="6">
        <v>265298849</v>
      </c>
      <c r="P64" s="6">
        <v>10665738</v>
      </c>
      <c r="Q64" s="6">
        <v>20392320</v>
      </c>
      <c r="R64" s="6">
        <v>8915749</v>
      </c>
      <c r="S64" s="6">
        <v>7836834</v>
      </c>
      <c r="T64" s="6">
        <v>7900729</v>
      </c>
      <c r="U64" s="6"/>
      <c r="V64" s="6"/>
      <c r="W64" s="6">
        <v>5097416377</v>
      </c>
      <c r="X64" s="6">
        <f>SUM(표1[[#This Row],[취사용]:[주한미군]])</f>
        <v>5097416377</v>
      </c>
      <c r="Y64" s="7">
        <f t="shared" si="0"/>
        <v>0</v>
      </c>
      <c r="AJ64"/>
    </row>
    <row r="65" spans="1:36" x14ac:dyDescent="0.3">
      <c r="A65" s="1">
        <v>44652</v>
      </c>
      <c r="B65" s="2">
        <v>2022</v>
      </c>
      <c r="C65" s="2">
        <v>4</v>
      </c>
      <c r="D65" s="2">
        <v>15.9</v>
      </c>
      <c r="E65" s="6">
        <v>24314734</v>
      </c>
      <c r="F65" s="6">
        <v>1465631229</v>
      </c>
      <c r="G65" s="6">
        <v>47661481</v>
      </c>
      <c r="H65" s="6">
        <v>20926403</v>
      </c>
      <c r="I65" s="6">
        <v>121227126</v>
      </c>
      <c r="J65" s="6">
        <v>64245553</v>
      </c>
      <c r="K65" s="6">
        <v>80395044</v>
      </c>
      <c r="L65" s="6">
        <v>47193002</v>
      </c>
      <c r="M65" s="6">
        <v>42639704</v>
      </c>
      <c r="N65" s="6">
        <v>953673886</v>
      </c>
      <c r="O65" s="6">
        <v>261317326</v>
      </c>
      <c r="P65" s="6">
        <v>13141233</v>
      </c>
      <c r="Q65" s="6">
        <v>21369251</v>
      </c>
      <c r="R65" s="6">
        <v>8008660</v>
      </c>
      <c r="S65" s="6">
        <v>2168912</v>
      </c>
      <c r="T65" s="6">
        <v>2920036</v>
      </c>
      <c r="U65" s="6"/>
      <c r="V65" s="6"/>
      <c r="W65" s="6">
        <v>3176833580</v>
      </c>
      <c r="X65" s="6">
        <f>SUM(표1[[#This Row],[취사용]:[주한미군]])</f>
        <v>3176833580</v>
      </c>
      <c r="Y65" s="7">
        <f t="shared" si="0"/>
        <v>0</v>
      </c>
      <c r="AJ65"/>
    </row>
    <row r="66" spans="1:36" x14ac:dyDescent="0.3">
      <c r="A66" s="1">
        <v>44682</v>
      </c>
      <c r="B66" s="2">
        <v>2022</v>
      </c>
      <c r="C66" s="2">
        <v>5</v>
      </c>
      <c r="D66" s="2">
        <v>20.7</v>
      </c>
      <c r="E66" s="6">
        <v>24072793</v>
      </c>
      <c r="F66" s="6">
        <v>858305234</v>
      </c>
      <c r="G66" s="6">
        <v>25497032</v>
      </c>
      <c r="H66" s="6">
        <v>9332945</v>
      </c>
      <c r="I66" s="6">
        <v>118335947</v>
      </c>
      <c r="J66" s="6">
        <v>63896173</v>
      </c>
      <c r="K66" s="6">
        <v>65828998</v>
      </c>
      <c r="L66" s="6">
        <v>28194428</v>
      </c>
      <c r="M66" s="6">
        <v>64103352</v>
      </c>
      <c r="N66" s="6">
        <v>919666614</v>
      </c>
      <c r="O66" s="6">
        <v>276042864</v>
      </c>
      <c r="P66" s="6">
        <v>13777936</v>
      </c>
      <c r="Q66" s="6">
        <v>18371083</v>
      </c>
      <c r="R66" s="6">
        <v>8273949</v>
      </c>
      <c r="S66" s="6">
        <v>348257</v>
      </c>
      <c r="T66" s="6">
        <v>1817963</v>
      </c>
      <c r="U66" s="6"/>
      <c r="V66" s="6"/>
      <c r="W66" s="6">
        <v>2495865568</v>
      </c>
      <c r="X66" s="6">
        <f>SUM(표1[[#This Row],[취사용]:[주한미군]])</f>
        <v>2495865568</v>
      </c>
      <c r="Y66" s="7">
        <f t="shared" ref="Y66:Y129" si="1">W66-X66</f>
        <v>0</v>
      </c>
      <c r="AJ66"/>
    </row>
    <row r="67" spans="1:36" x14ac:dyDescent="0.3">
      <c r="A67" s="1">
        <v>44713</v>
      </c>
      <c r="B67" s="2">
        <v>2022</v>
      </c>
      <c r="C67" s="2">
        <v>6</v>
      </c>
      <c r="D67" s="2">
        <v>24.3</v>
      </c>
      <c r="E67" s="6">
        <v>23251040</v>
      </c>
      <c r="F67" s="6">
        <v>513608427</v>
      </c>
      <c r="G67" s="6">
        <v>17043715</v>
      </c>
      <c r="H67" s="6">
        <v>4522896</v>
      </c>
      <c r="I67" s="6">
        <v>114140669</v>
      </c>
      <c r="J67" s="6">
        <v>55529203</v>
      </c>
      <c r="K67" s="6">
        <v>53201875</v>
      </c>
      <c r="L67" s="6">
        <v>21126024</v>
      </c>
      <c r="M67" s="6">
        <v>141715989</v>
      </c>
      <c r="N67" s="6">
        <v>854838931</v>
      </c>
      <c r="O67" s="6">
        <v>275862241</v>
      </c>
      <c r="P67" s="6">
        <v>11250361</v>
      </c>
      <c r="Q67" s="6">
        <v>16619898</v>
      </c>
      <c r="R67" s="6">
        <v>7964321</v>
      </c>
      <c r="S67" s="6">
        <v>450900</v>
      </c>
      <c r="T67" s="6">
        <v>1365761</v>
      </c>
      <c r="U67" s="6"/>
      <c r="V67" s="6"/>
      <c r="W67" s="6">
        <v>2112492251</v>
      </c>
      <c r="X67" s="6">
        <f>SUM(표1[[#This Row],[취사용]:[주한미군]])</f>
        <v>2112492251</v>
      </c>
      <c r="Y67" s="7">
        <f t="shared" si="1"/>
        <v>0</v>
      </c>
      <c r="AJ67"/>
    </row>
    <row r="68" spans="1:36" x14ac:dyDescent="0.3">
      <c r="A68" s="1">
        <v>44743</v>
      </c>
      <c r="B68" s="2">
        <v>2022</v>
      </c>
      <c r="C68" s="2">
        <v>7</v>
      </c>
      <c r="D68" s="2">
        <v>27.5</v>
      </c>
      <c r="E68" s="6">
        <v>23932508</v>
      </c>
      <c r="F68" s="6">
        <v>334124344</v>
      </c>
      <c r="G68" s="6">
        <v>12197605</v>
      </c>
      <c r="H68" s="6">
        <v>2353027</v>
      </c>
      <c r="I68" s="6">
        <v>106577862</v>
      </c>
      <c r="J68" s="6">
        <v>50159544</v>
      </c>
      <c r="K68" s="6">
        <v>47475713</v>
      </c>
      <c r="L68" s="6">
        <v>18775737</v>
      </c>
      <c r="M68" s="6">
        <v>204251861</v>
      </c>
      <c r="N68" s="6">
        <v>857491193</v>
      </c>
      <c r="O68" s="6">
        <v>289400174</v>
      </c>
      <c r="P68" s="6">
        <v>13342579</v>
      </c>
      <c r="Q68" s="6">
        <v>20083491</v>
      </c>
      <c r="R68" s="6">
        <v>8456091</v>
      </c>
      <c r="S68" s="6">
        <v>547350</v>
      </c>
      <c r="T68" s="6">
        <v>1175440</v>
      </c>
      <c r="U68" s="6"/>
      <c r="V68" s="6"/>
      <c r="W68" s="6">
        <v>1990344519</v>
      </c>
      <c r="X68" s="6">
        <f>SUM(표1[[#This Row],[취사용]:[주한미군]])</f>
        <v>1990344519</v>
      </c>
      <c r="Y68" s="7">
        <f t="shared" si="1"/>
        <v>0</v>
      </c>
      <c r="AJ68"/>
    </row>
    <row r="69" spans="1:36" x14ac:dyDescent="0.3">
      <c r="A69" s="1">
        <v>44774</v>
      </c>
      <c r="B69" s="2">
        <v>2022</v>
      </c>
      <c r="C69" s="2">
        <v>8</v>
      </c>
      <c r="D69" s="2">
        <v>26.9</v>
      </c>
      <c r="E69" s="6">
        <v>23867675</v>
      </c>
      <c r="F69" s="6">
        <v>375773751</v>
      </c>
      <c r="G69" s="6">
        <v>11239376</v>
      </c>
      <c r="H69" s="6">
        <v>1665203</v>
      </c>
      <c r="I69" s="6">
        <v>108544233</v>
      </c>
      <c r="J69" s="6">
        <v>43476845</v>
      </c>
      <c r="K69" s="6">
        <v>47395198</v>
      </c>
      <c r="L69" s="6">
        <v>18297015</v>
      </c>
      <c r="M69" s="6">
        <v>172824185</v>
      </c>
      <c r="N69" s="6">
        <v>796389988</v>
      </c>
      <c r="O69" s="6">
        <v>280367635</v>
      </c>
      <c r="P69" s="6">
        <v>13136145</v>
      </c>
      <c r="Q69" s="6">
        <v>20370170</v>
      </c>
      <c r="R69" s="6">
        <v>8139486</v>
      </c>
      <c r="S69" s="6">
        <v>527243</v>
      </c>
      <c r="T69" s="6">
        <v>1489756</v>
      </c>
      <c r="U69" s="6"/>
      <c r="V69" s="6"/>
      <c r="W69" s="6">
        <v>1923503904</v>
      </c>
      <c r="X69" s="6">
        <f>SUM(표1[[#This Row],[취사용]:[주한미군]])</f>
        <v>1923503904</v>
      </c>
      <c r="Y69" s="7">
        <f t="shared" si="1"/>
        <v>0</v>
      </c>
      <c r="AJ69"/>
    </row>
    <row r="70" spans="1:36" x14ac:dyDescent="0.3">
      <c r="A70" s="1">
        <v>44805</v>
      </c>
      <c r="B70" s="2">
        <v>2022</v>
      </c>
      <c r="C70" s="2">
        <v>9</v>
      </c>
      <c r="D70" s="2">
        <v>21.9</v>
      </c>
      <c r="E70" s="6">
        <v>23142436</v>
      </c>
      <c r="F70" s="6">
        <v>546662225</v>
      </c>
      <c r="G70" s="6">
        <v>15711061</v>
      </c>
      <c r="H70" s="6">
        <v>5519498</v>
      </c>
      <c r="I70" s="6">
        <v>114182269</v>
      </c>
      <c r="J70" s="6">
        <v>40493064</v>
      </c>
      <c r="K70" s="6">
        <v>50057250</v>
      </c>
      <c r="L70" s="6">
        <v>19624368</v>
      </c>
      <c r="M70" s="6">
        <v>99245641</v>
      </c>
      <c r="N70" s="6">
        <v>810728095</v>
      </c>
      <c r="O70" s="6">
        <v>264654453</v>
      </c>
      <c r="P70" s="6">
        <v>11825382</v>
      </c>
      <c r="Q70" s="6">
        <v>13087600</v>
      </c>
      <c r="R70" s="6">
        <v>7428047</v>
      </c>
      <c r="S70" s="6">
        <v>469497</v>
      </c>
      <c r="T70" s="6">
        <v>1341198</v>
      </c>
      <c r="U70" s="6"/>
      <c r="V70" s="6"/>
      <c r="W70" s="6">
        <v>2024172084</v>
      </c>
      <c r="X70" s="6">
        <f>SUM(표1[[#This Row],[취사용]:[주한미군]])</f>
        <v>2024172084</v>
      </c>
      <c r="Y70" s="7">
        <f t="shared" si="1"/>
        <v>0</v>
      </c>
      <c r="AJ70"/>
    </row>
    <row r="71" spans="1:36" x14ac:dyDescent="0.3">
      <c r="A71" s="1">
        <v>44835</v>
      </c>
      <c r="B71" s="2">
        <v>2022</v>
      </c>
      <c r="C71" s="2">
        <v>10</v>
      </c>
      <c r="D71" s="2">
        <v>15.5</v>
      </c>
      <c r="E71" s="6">
        <v>25593316</v>
      </c>
      <c r="F71" s="6">
        <v>1256091676</v>
      </c>
      <c r="G71" s="6">
        <v>35128648</v>
      </c>
      <c r="H71" s="6">
        <v>18443032</v>
      </c>
      <c r="I71" s="6">
        <v>129582325</v>
      </c>
      <c r="J71" s="6">
        <v>53425847</v>
      </c>
      <c r="K71" s="6">
        <v>73333943</v>
      </c>
      <c r="L71" s="6">
        <v>35585646</v>
      </c>
      <c r="M71" s="6">
        <v>53130057</v>
      </c>
      <c r="N71" s="6">
        <v>863506733</v>
      </c>
      <c r="O71" s="6">
        <v>267016004</v>
      </c>
      <c r="P71" s="6">
        <v>12471147</v>
      </c>
      <c r="Q71" s="6">
        <v>12521831</v>
      </c>
      <c r="R71" s="6">
        <v>8339707</v>
      </c>
      <c r="S71" s="6">
        <v>464793</v>
      </c>
      <c r="T71" s="6">
        <v>2375176</v>
      </c>
      <c r="U71" s="6"/>
      <c r="V71" s="6"/>
      <c r="W71" s="6">
        <v>2847009881</v>
      </c>
      <c r="X71" s="6">
        <f>SUM(표1[[#This Row],[취사용]:[주한미군]])</f>
        <v>2847009881</v>
      </c>
      <c r="Y71" s="7">
        <f t="shared" si="1"/>
        <v>0</v>
      </c>
      <c r="AJ71"/>
    </row>
    <row r="72" spans="1:36" x14ac:dyDescent="0.3">
      <c r="A72" s="1">
        <v>44866</v>
      </c>
      <c r="B72" s="2">
        <v>2022</v>
      </c>
      <c r="C72" s="2">
        <v>11</v>
      </c>
      <c r="D72" s="2">
        <v>11</v>
      </c>
      <c r="E72" s="6">
        <v>24542316</v>
      </c>
      <c r="F72" s="6">
        <v>2235700590</v>
      </c>
      <c r="G72" s="6">
        <v>67653024</v>
      </c>
      <c r="H72" s="6">
        <v>36700166</v>
      </c>
      <c r="I72" s="6">
        <v>143743942</v>
      </c>
      <c r="J72" s="6">
        <v>68662087</v>
      </c>
      <c r="K72" s="6">
        <v>105642713</v>
      </c>
      <c r="L72" s="6">
        <v>72998806</v>
      </c>
      <c r="M72" s="6">
        <v>67167796</v>
      </c>
      <c r="N72" s="6">
        <v>905044398</v>
      </c>
      <c r="O72" s="6">
        <v>261024145</v>
      </c>
      <c r="P72" s="6">
        <v>12263096</v>
      </c>
      <c r="Q72" s="6">
        <v>7335080</v>
      </c>
      <c r="R72" s="6">
        <v>8323107</v>
      </c>
      <c r="S72" s="6">
        <v>468895</v>
      </c>
      <c r="T72" s="6">
        <v>6229739</v>
      </c>
      <c r="U72" s="6"/>
      <c r="V72" s="6"/>
      <c r="W72" s="6">
        <v>4023499900</v>
      </c>
      <c r="X72" s="6">
        <f>SUM(표1[[#This Row],[취사용]:[주한미군]])</f>
        <v>4023499900</v>
      </c>
      <c r="Y72" s="7">
        <f t="shared" si="1"/>
        <v>0</v>
      </c>
      <c r="AJ72"/>
    </row>
    <row r="73" spans="1:36" x14ac:dyDescent="0.3">
      <c r="A73" s="1">
        <v>44896</v>
      </c>
      <c r="B73" s="2">
        <v>2022</v>
      </c>
      <c r="C73" s="2">
        <v>12</v>
      </c>
      <c r="D73" s="2">
        <v>0.4</v>
      </c>
      <c r="E73" s="6">
        <v>32903478</v>
      </c>
      <c r="F73" s="6">
        <v>5301868309</v>
      </c>
      <c r="G73" s="6">
        <v>127216057</v>
      </c>
      <c r="H73" s="6">
        <v>87291747</v>
      </c>
      <c r="I73" s="6">
        <v>180084877</v>
      </c>
      <c r="J73" s="6">
        <v>91257767</v>
      </c>
      <c r="K73" s="6">
        <v>181740285</v>
      </c>
      <c r="L73" s="6">
        <v>165256166</v>
      </c>
      <c r="M73" s="6">
        <v>198514970</v>
      </c>
      <c r="N73" s="6">
        <v>1015697258</v>
      </c>
      <c r="O73" s="6">
        <v>277227725</v>
      </c>
      <c r="P73" s="6">
        <v>9877158</v>
      </c>
      <c r="Q73" s="6">
        <v>12972557</v>
      </c>
      <c r="R73" s="6">
        <v>7266584</v>
      </c>
      <c r="S73" s="6">
        <v>892922</v>
      </c>
      <c r="T73" s="6">
        <v>11869489</v>
      </c>
      <c r="U73" s="6"/>
      <c r="V73" s="6"/>
      <c r="W73" s="6">
        <v>7701937349</v>
      </c>
      <c r="X73" s="6">
        <f>SUM(표1[[#This Row],[취사용]:[주한미군]])</f>
        <v>7701937349</v>
      </c>
      <c r="Y73" s="7">
        <f t="shared" si="1"/>
        <v>0</v>
      </c>
      <c r="AJ73"/>
    </row>
    <row r="74" spans="1:36" x14ac:dyDescent="0.3">
      <c r="A74" s="1">
        <v>44927</v>
      </c>
      <c r="B74" s="2">
        <v>2023</v>
      </c>
      <c r="C74" s="2">
        <v>1</v>
      </c>
      <c r="D74" s="2">
        <v>0.9</v>
      </c>
      <c r="E74" s="6">
        <v>28820793</v>
      </c>
      <c r="F74" s="6">
        <v>5334162428</v>
      </c>
      <c r="G74" s="6">
        <v>111293054</v>
      </c>
      <c r="H74" s="6">
        <v>86707741</v>
      </c>
      <c r="I74" s="6">
        <v>150131339</v>
      </c>
      <c r="J74" s="6">
        <v>78436750</v>
      </c>
      <c r="K74" s="6">
        <v>163774389</v>
      </c>
      <c r="L74" s="6">
        <v>155566811</v>
      </c>
      <c r="M74" s="6">
        <v>186820556</v>
      </c>
      <c r="N74" s="6">
        <v>917374249</v>
      </c>
      <c r="O74" s="6">
        <v>260456593</v>
      </c>
      <c r="P74" s="6">
        <v>8080745</v>
      </c>
      <c r="Q74" s="6">
        <v>12896081</v>
      </c>
      <c r="R74" s="6">
        <v>7123893</v>
      </c>
      <c r="S74" s="6">
        <v>17843963</v>
      </c>
      <c r="T74" s="6">
        <v>12469516</v>
      </c>
      <c r="U74" s="6"/>
      <c r="V74" s="6"/>
      <c r="W74" s="6">
        <v>7531958901</v>
      </c>
      <c r="X74" s="6">
        <f>SUM(표1[[#This Row],[취사용]:[주한미군]])</f>
        <v>7531958901</v>
      </c>
      <c r="Y74" s="7">
        <f t="shared" si="1"/>
        <v>0</v>
      </c>
      <c r="AJ74"/>
    </row>
    <row r="75" spans="1:36" x14ac:dyDescent="0.3">
      <c r="A75" s="1">
        <v>44958</v>
      </c>
      <c r="B75" s="2">
        <v>2023</v>
      </c>
      <c r="C75" s="2">
        <v>2</v>
      </c>
      <c r="D75" s="2">
        <v>4.4000000000000004</v>
      </c>
      <c r="E75" s="6">
        <v>25148382</v>
      </c>
      <c r="F75" s="6">
        <v>3751505817</v>
      </c>
      <c r="G75" s="6">
        <v>88317762</v>
      </c>
      <c r="H75" s="6">
        <v>63233879</v>
      </c>
      <c r="I75" s="6">
        <v>134792788</v>
      </c>
      <c r="J75" s="6">
        <v>69573244</v>
      </c>
      <c r="K75" s="6">
        <v>132955345</v>
      </c>
      <c r="L75" s="6">
        <v>116610306</v>
      </c>
      <c r="M75" s="6">
        <v>128201675</v>
      </c>
      <c r="N75" s="6">
        <v>898692461</v>
      </c>
      <c r="O75" s="6">
        <v>243026171</v>
      </c>
      <c r="P75" s="6">
        <v>6293863</v>
      </c>
      <c r="Q75" s="6">
        <v>12740523</v>
      </c>
      <c r="R75" s="6">
        <v>8223977</v>
      </c>
      <c r="S75" s="6">
        <v>2324856</v>
      </c>
      <c r="T75" s="6">
        <v>11246999</v>
      </c>
      <c r="U75" s="6"/>
      <c r="V75" s="6"/>
      <c r="W75" s="6">
        <v>5692888048</v>
      </c>
      <c r="X75" s="6">
        <f>SUM(표1[[#This Row],[취사용]:[주한미군]])</f>
        <v>5692888048</v>
      </c>
      <c r="Y75" s="7">
        <f t="shared" si="1"/>
        <v>0</v>
      </c>
      <c r="AJ75"/>
    </row>
    <row r="76" spans="1:36" x14ac:dyDescent="0.3">
      <c r="A76" s="1">
        <v>44986</v>
      </c>
      <c r="B76" s="2">
        <v>2023</v>
      </c>
      <c r="C76" s="2">
        <v>3</v>
      </c>
      <c r="D76" s="2">
        <v>11.8</v>
      </c>
      <c r="E76" s="6">
        <v>23423101</v>
      </c>
      <c r="F76" s="6">
        <v>2344846155</v>
      </c>
      <c r="G76" s="6">
        <v>62989505</v>
      </c>
      <c r="H76" s="6">
        <v>37073097</v>
      </c>
      <c r="I76" s="6">
        <v>131208055</v>
      </c>
      <c r="J76" s="6">
        <v>80022197</v>
      </c>
      <c r="K76" s="6">
        <v>100361334</v>
      </c>
      <c r="L76" s="6">
        <v>68485018</v>
      </c>
      <c r="M76" s="6">
        <v>57830482</v>
      </c>
      <c r="N76" s="6">
        <v>866059224</v>
      </c>
      <c r="O76" s="6">
        <v>264524891</v>
      </c>
      <c r="P76" s="6">
        <v>9159418</v>
      </c>
      <c r="Q76" s="6">
        <v>12915338</v>
      </c>
      <c r="R76" s="6">
        <v>6352891</v>
      </c>
      <c r="S76" s="6">
        <v>517676</v>
      </c>
      <c r="T76" s="6">
        <v>5220398</v>
      </c>
      <c r="U76" s="6"/>
      <c r="V76" s="6"/>
      <c r="W76" s="6">
        <v>4070988780</v>
      </c>
      <c r="X76" s="6">
        <f>SUM(표1[[#This Row],[취사용]:[주한미군]])</f>
        <v>4070988780</v>
      </c>
      <c r="Y76" s="7">
        <f t="shared" si="1"/>
        <v>0</v>
      </c>
      <c r="AJ76"/>
    </row>
    <row r="77" spans="1:36" x14ac:dyDescent="0.3">
      <c r="A77" s="1">
        <v>45017</v>
      </c>
      <c r="B77" s="2">
        <v>2023</v>
      </c>
      <c r="C77" s="2">
        <v>4</v>
      </c>
      <c r="D77" s="2">
        <v>14.8</v>
      </c>
      <c r="E77" s="6">
        <v>22093223</v>
      </c>
      <c r="F77" s="6">
        <v>1381872641</v>
      </c>
      <c r="G77" s="6">
        <v>39740382</v>
      </c>
      <c r="H77" s="6">
        <v>18757633</v>
      </c>
      <c r="I77" s="6">
        <v>124301944</v>
      </c>
      <c r="J77" s="6">
        <v>74309848</v>
      </c>
      <c r="K77" s="6">
        <v>80550815</v>
      </c>
      <c r="L77" s="6">
        <v>40889504</v>
      </c>
      <c r="M77" s="6">
        <v>29502707</v>
      </c>
      <c r="N77" s="6">
        <v>797614666</v>
      </c>
      <c r="O77" s="6">
        <v>253618196</v>
      </c>
      <c r="P77" s="6">
        <v>12487133</v>
      </c>
      <c r="Q77" s="6">
        <v>14772363</v>
      </c>
      <c r="R77" s="6">
        <v>6425658</v>
      </c>
      <c r="S77" s="6">
        <v>17315606</v>
      </c>
      <c r="T77" s="6">
        <v>2042268</v>
      </c>
      <c r="U77" s="6"/>
      <c r="V77" s="6"/>
      <c r="W77" s="6">
        <v>2916294587</v>
      </c>
      <c r="X77" s="6">
        <f>SUM(표1[[#This Row],[취사용]:[주한미군]])</f>
        <v>2916294587</v>
      </c>
      <c r="Y77" s="7">
        <f t="shared" si="1"/>
        <v>0</v>
      </c>
      <c r="AJ77"/>
    </row>
    <row r="78" spans="1:36" x14ac:dyDescent="0.3">
      <c r="A78" s="1">
        <v>45047</v>
      </c>
      <c r="B78" s="2">
        <v>2023</v>
      </c>
      <c r="C78" s="2">
        <v>5</v>
      </c>
      <c r="D78" s="2">
        <v>19.3</v>
      </c>
      <c r="E78" s="6">
        <v>22246453</v>
      </c>
      <c r="F78" s="6">
        <v>846229629</v>
      </c>
      <c r="G78" s="6">
        <v>23519555</v>
      </c>
      <c r="H78" s="6">
        <v>8404781</v>
      </c>
      <c r="I78" s="6">
        <v>127701510</v>
      </c>
      <c r="J78" s="6">
        <v>70782871</v>
      </c>
      <c r="K78" s="6">
        <v>68949909</v>
      </c>
      <c r="L78" s="6">
        <v>28262727</v>
      </c>
      <c r="M78" s="6">
        <v>61658802</v>
      </c>
      <c r="N78" s="6">
        <v>810449821</v>
      </c>
      <c r="O78" s="6">
        <v>266335584</v>
      </c>
      <c r="P78" s="6">
        <v>13494703</v>
      </c>
      <c r="Q78" s="6">
        <v>21448454</v>
      </c>
      <c r="R78" s="6">
        <v>7227782</v>
      </c>
      <c r="S78" s="6">
        <v>17298132</v>
      </c>
      <c r="T78" s="6">
        <v>1578039</v>
      </c>
      <c r="U78" s="6"/>
      <c r="V78" s="6"/>
      <c r="W78" s="6">
        <v>2395588752</v>
      </c>
      <c r="X78" s="6">
        <f>SUM(표1[[#This Row],[취사용]:[주한미군]])</f>
        <v>2395588752</v>
      </c>
      <c r="Y78" s="7">
        <f t="shared" si="1"/>
        <v>0</v>
      </c>
      <c r="AJ78"/>
    </row>
    <row r="79" spans="1:36" x14ac:dyDescent="0.3">
      <c r="A79" s="1">
        <v>45078</v>
      </c>
      <c r="B79" s="2">
        <v>2023</v>
      </c>
      <c r="C79" s="2">
        <v>6</v>
      </c>
      <c r="D79" s="2">
        <v>24</v>
      </c>
      <c r="E79" s="6">
        <v>21520164</v>
      </c>
      <c r="F79" s="6">
        <v>511256518</v>
      </c>
      <c r="G79" s="6">
        <v>16322745</v>
      </c>
      <c r="H79" s="6">
        <v>3868275</v>
      </c>
      <c r="I79" s="6">
        <v>118200659</v>
      </c>
      <c r="J79" s="6">
        <v>62986751</v>
      </c>
      <c r="K79" s="6">
        <v>55263516</v>
      </c>
      <c r="L79" s="6">
        <v>20572380</v>
      </c>
      <c r="M79" s="6">
        <v>124551955</v>
      </c>
      <c r="N79" s="6">
        <v>780830882</v>
      </c>
      <c r="O79" s="6">
        <v>268711355</v>
      </c>
      <c r="P79" s="6">
        <v>13327050</v>
      </c>
      <c r="Q79" s="6">
        <v>18637680</v>
      </c>
      <c r="R79" s="6">
        <v>6783869</v>
      </c>
      <c r="S79" s="6">
        <v>489054</v>
      </c>
      <c r="T79" s="6">
        <v>1885735</v>
      </c>
      <c r="U79" s="6"/>
      <c r="V79" s="6"/>
      <c r="W79" s="6">
        <v>2025208588</v>
      </c>
      <c r="X79" s="6">
        <f>SUM(표1[[#This Row],[취사용]:[주한미군]])</f>
        <v>2025208588</v>
      </c>
      <c r="Y79" s="7">
        <f t="shared" si="1"/>
        <v>0</v>
      </c>
      <c r="AJ79"/>
    </row>
    <row r="80" spans="1:36" x14ac:dyDescent="0.3">
      <c r="A80" s="1">
        <v>45108</v>
      </c>
      <c r="B80" s="2">
        <v>2023</v>
      </c>
      <c r="C80" s="2">
        <v>7</v>
      </c>
      <c r="D80" s="2">
        <v>26.7</v>
      </c>
      <c r="E80" s="6">
        <v>22671152</v>
      </c>
      <c r="F80" s="6">
        <v>450485153</v>
      </c>
      <c r="G80" s="6">
        <v>12892319</v>
      </c>
      <c r="H80" s="6">
        <v>3477698</v>
      </c>
      <c r="I80" s="6">
        <v>119619258</v>
      </c>
      <c r="J80" s="6">
        <v>53182697</v>
      </c>
      <c r="K80" s="6">
        <v>50653727</v>
      </c>
      <c r="L80" s="6">
        <v>19541442</v>
      </c>
      <c r="M80" s="6">
        <v>185250429</v>
      </c>
      <c r="N80" s="6">
        <v>715363010</v>
      </c>
      <c r="O80" s="6">
        <v>279195374</v>
      </c>
      <c r="P80" s="6">
        <v>14239642</v>
      </c>
      <c r="Q80" s="6">
        <v>17606883</v>
      </c>
      <c r="R80" s="6">
        <v>6946100</v>
      </c>
      <c r="S80" s="6">
        <v>609362</v>
      </c>
      <c r="T80" s="6">
        <v>1924658</v>
      </c>
      <c r="U80" s="6"/>
      <c r="V80" s="6"/>
      <c r="W80" s="6">
        <v>1953658904</v>
      </c>
      <c r="X80" s="6">
        <f>SUM(표1[[#This Row],[취사용]:[주한미군]])</f>
        <v>1953658904</v>
      </c>
      <c r="Y80" s="7">
        <f t="shared" si="1"/>
        <v>0</v>
      </c>
      <c r="AJ80"/>
    </row>
    <row r="81" spans="1:36" x14ac:dyDescent="0.3">
      <c r="A81" s="1">
        <v>45139</v>
      </c>
      <c r="B81" s="2">
        <v>2023</v>
      </c>
      <c r="C81" s="2">
        <v>8</v>
      </c>
      <c r="D81" s="2">
        <v>27.5</v>
      </c>
      <c r="E81" s="6">
        <v>22376189</v>
      </c>
      <c r="F81" s="6">
        <v>362859042</v>
      </c>
      <c r="G81" s="6">
        <v>11455858</v>
      </c>
      <c r="H81" s="6">
        <v>2476639</v>
      </c>
      <c r="I81" s="6">
        <v>116747990</v>
      </c>
      <c r="J81" s="6">
        <v>50864899</v>
      </c>
      <c r="K81" s="6">
        <v>48640335</v>
      </c>
      <c r="L81" s="6">
        <v>18407290</v>
      </c>
      <c r="M81" s="6">
        <v>196171432</v>
      </c>
      <c r="N81" s="6">
        <v>725101785</v>
      </c>
      <c r="O81" s="6">
        <v>280740414</v>
      </c>
      <c r="P81" s="6">
        <v>14402562</v>
      </c>
      <c r="Q81" s="6">
        <v>20614001</v>
      </c>
      <c r="R81" s="6">
        <v>6637911</v>
      </c>
      <c r="S81" s="6">
        <v>600981</v>
      </c>
      <c r="T81" s="6">
        <v>1995632</v>
      </c>
      <c r="U81" s="6"/>
      <c r="V81" s="6"/>
      <c r="W81" s="6">
        <v>1880092960</v>
      </c>
      <c r="X81" s="6">
        <f>SUM(표1[[#This Row],[취사용]:[주한미군]])</f>
        <v>1880092960</v>
      </c>
      <c r="Y81" s="7">
        <f t="shared" si="1"/>
        <v>0</v>
      </c>
      <c r="AJ81"/>
    </row>
    <row r="82" spans="1:36" x14ac:dyDescent="0.3">
      <c r="A82" s="1">
        <v>45170</v>
      </c>
      <c r="B82" s="2">
        <v>2023</v>
      </c>
      <c r="C82" s="2">
        <v>9</v>
      </c>
      <c r="D82" s="2">
        <v>23.5</v>
      </c>
      <c r="E82" s="6">
        <v>21357151</v>
      </c>
      <c r="F82" s="6">
        <v>463081122</v>
      </c>
      <c r="G82" s="6">
        <v>13735531</v>
      </c>
      <c r="H82" s="6">
        <v>3630281</v>
      </c>
      <c r="I82" s="6">
        <v>111416865</v>
      </c>
      <c r="J82" s="6">
        <v>55869392</v>
      </c>
      <c r="K82" s="6">
        <v>51085246</v>
      </c>
      <c r="L82" s="6">
        <v>18608115</v>
      </c>
      <c r="M82" s="6">
        <v>138562905</v>
      </c>
      <c r="N82" s="6">
        <v>727690471</v>
      </c>
      <c r="O82" s="6">
        <v>265236261</v>
      </c>
      <c r="P82" s="6">
        <v>14049319</v>
      </c>
      <c r="Q82" s="6">
        <v>16268968.694</v>
      </c>
      <c r="R82" s="6">
        <v>6057198</v>
      </c>
      <c r="S82" s="6">
        <v>520090</v>
      </c>
      <c r="T82" s="6">
        <v>1118150</v>
      </c>
      <c r="U82" s="6"/>
      <c r="V82" s="6"/>
      <c r="W82" s="6">
        <v>1908287066</v>
      </c>
      <c r="X82" s="6">
        <f>SUM(표1[[#This Row],[취사용]:[주한미군]])</f>
        <v>1908287065.694</v>
      </c>
      <c r="Y82" s="7">
        <f t="shared" si="1"/>
        <v>0.3059999942779541</v>
      </c>
      <c r="AJ82"/>
    </row>
    <row r="83" spans="1:36" x14ac:dyDescent="0.3">
      <c r="A83" s="1">
        <v>45200</v>
      </c>
      <c r="B83" s="2">
        <v>2023</v>
      </c>
      <c r="C83" s="2">
        <v>10</v>
      </c>
      <c r="D83" s="2">
        <v>15.9</v>
      </c>
      <c r="E83" s="6">
        <v>22002467</v>
      </c>
      <c r="F83" s="6">
        <v>1049294518</v>
      </c>
      <c r="G83" s="6">
        <v>27856416</v>
      </c>
      <c r="H83" s="6">
        <v>10753708</v>
      </c>
      <c r="I83" s="6">
        <v>120818058</v>
      </c>
      <c r="J83" s="6">
        <v>63290286</v>
      </c>
      <c r="K83" s="6">
        <v>68899816</v>
      </c>
      <c r="L83" s="6">
        <v>28636431</v>
      </c>
      <c r="M83" s="6">
        <v>54486711</v>
      </c>
      <c r="N83" s="6">
        <v>789697738</v>
      </c>
      <c r="O83" s="6">
        <v>259219328</v>
      </c>
      <c r="P83" s="6">
        <v>14454061</v>
      </c>
      <c r="Q83" s="6">
        <v>18842648.675000001</v>
      </c>
      <c r="R83" s="6">
        <v>6572338</v>
      </c>
      <c r="S83" s="6">
        <v>1740549</v>
      </c>
      <c r="T83" s="6">
        <v>2655419</v>
      </c>
      <c r="U83" s="6"/>
      <c r="V83" s="6"/>
      <c r="W83" s="6">
        <v>2539220493</v>
      </c>
      <c r="X83" s="6">
        <f>SUM(표1[[#This Row],[취사용]:[주한미군]])</f>
        <v>2539220492.6750002</v>
      </c>
      <c r="Y83" s="7">
        <f t="shared" si="1"/>
        <v>0.32499980926513672</v>
      </c>
      <c r="AJ83"/>
    </row>
    <row r="84" spans="1:36" x14ac:dyDescent="0.3">
      <c r="A84" s="1">
        <v>45231</v>
      </c>
      <c r="B84" s="2">
        <v>2023</v>
      </c>
      <c r="C84" s="2">
        <v>11</v>
      </c>
      <c r="D84" s="2">
        <v>9.1999999999999993</v>
      </c>
      <c r="E84" s="6">
        <v>25398945</v>
      </c>
      <c r="F84" s="6">
        <v>2677064812</v>
      </c>
      <c r="G84" s="6">
        <v>65922982</v>
      </c>
      <c r="H84" s="6">
        <v>35027898</v>
      </c>
      <c r="I84" s="6">
        <v>135888881</v>
      </c>
      <c r="J84" s="6">
        <v>82804383</v>
      </c>
      <c r="K84" s="6">
        <v>105702569</v>
      </c>
      <c r="L84" s="6">
        <v>71933823</v>
      </c>
      <c r="M84" s="6">
        <v>69290433</v>
      </c>
      <c r="N84" s="6">
        <v>913523609</v>
      </c>
      <c r="O84" s="6">
        <v>265718208</v>
      </c>
      <c r="P84" s="6">
        <v>9784610</v>
      </c>
      <c r="Q84" s="6">
        <v>18753833.659000002</v>
      </c>
      <c r="R84" s="6">
        <v>13341473</v>
      </c>
      <c r="S84" s="6">
        <v>446022</v>
      </c>
      <c r="T84" s="6">
        <v>7170534</v>
      </c>
      <c r="U84" s="6"/>
      <c r="V84" s="6"/>
      <c r="W84" s="6">
        <v>4497773016</v>
      </c>
      <c r="X84" s="6">
        <f>SUM(표1[[#This Row],[취사용]:[주한미군]])</f>
        <v>4497773015.6590004</v>
      </c>
      <c r="Y84" s="7">
        <f t="shared" si="1"/>
        <v>0.34099960327148438</v>
      </c>
      <c r="AJ84"/>
    </row>
    <row r="85" spans="1:36" x14ac:dyDescent="0.3">
      <c r="A85" s="1">
        <v>45261</v>
      </c>
      <c r="B85" s="2">
        <v>2023</v>
      </c>
      <c r="C85" s="2">
        <v>12</v>
      </c>
      <c r="D85" s="2">
        <v>3.5</v>
      </c>
      <c r="E85" s="6">
        <v>27486282</v>
      </c>
      <c r="F85" s="6">
        <v>4600155384</v>
      </c>
      <c r="G85" s="6">
        <v>100912199</v>
      </c>
      <c r="H85" s="6">
        <v>65712294</v>
      </c>
      <c r="I85" s="6">
        <v>155534085</v>
      </c>
      <c r="J85" s="6">
        <v>88893726</v>
      </c>
      <c r="K85" s="6">
        <v>154437528</v>
      </c>
      <c r="L85" s="6">
        <v>126586433</v>
      </c>
      <c r="M85" s="6">
        <v>148753389</v>
      </c>
      <c r="N85" s="6">
        <v>945917345</v>
      </c>
      <c r="O85" s="6">
        <v>267918179</v>
      </c>
      <c r="P85" s="6">
        <v>12376805</v>
      </c>
      <c r="Q85" s="6">
        <v>23163535.713</v>
      </c>
      <c r="R85" s="6">
        <v>20549297</v>
      </c>
      <c r="S85" s="6">
        <v>9204700</v>
      </c>
      <c r="T85" s="6">
        <v>10906968</v>
      </c>
      <c r="U85" s="6"/>
      <c r="V85" s="6"/>
      <c r="W85" s="6">
        <v>6758508150</v>
      </c>
      <c r="X85" s="6">
        <f>SUM(표1[[#This Row],[취사용]:[주한미군]])</f>
        <v>6758508149.7130003</v>
      </c>
      <c r="Y85" s="7">
        <f t="shared" si="1"/>
        <v>0.28699970245361328</v>
      </c>
      <c r="AJ85"/>
    </row>
    <row r="86" spans="1:36" x14ac:dyDescent="0.3">
      <c r="A86" s="1">
        <v>45292</v>
      </c>
      <c r="B86" s="2">
        <v>2024</v>
      </c>
      <c r="C86" s="2">
        <v>1</v>
      </c>
      <c r="D86" s="2">
        <v>2.2999999999999998</v>
      </c>
      <c r="E86" s="6">
        <v>26693834</v>
      </c>
      <c r="F86" s="6">
        <v>4914455347</v>
      </c>
      <c r="G86" s="6">
        <v>106994935</v>
      </c>
      <c r="H86" s="6">
        <v>74179696</v>
      </c>
      <c r="I86" s="6">
        <v>155556593.76089862</v>
      </c>
      <c r="J86" s="6">
        <v>75779363.643030539</v>
      </c>
      <c r="K86" s="6">
        <v>170030889</v>
      </c>
      <c r="L86" s="6">
        <v>142873884</v>
      </c>
      <c r="M86" s="6">
        <v>168164469</v>
      </c>
      <c r="N86" s="6">
        <v>980833014</v>
      </c>
      <c r="O86" s="6">
        <v>258958991</v>
      </c>
      <c r="P86" s="6">
        <v>11634377</v>
      </c>
      <c r="Q86" s="6">
        <v>24038997</v>
      </c>
      <c r="R86" s="6">
        <v>18099274</v>
      </c>
      <c r="S86" s="6">
        <v>38371285</v>
      </c>
      <c r="T86" s="6">
        <v>12321746</v>
      </c>
      <c r="U86" s="6"/>
      <c r="V86" s="6"/>
      <c r="W86" s="6">
        <v>7178986695</v>
      </c>
      <c r="X86" s="6">
        <f>SUM(표1[[#This Row],[취사용]:[주한미군]])</f>
        <v>7178986695.4039288</v>
      </c>
      <c r="Y86" s="7">
        <f t="shared" si="1"/>
        <v>-0.40392875671386719</v>
      </c>
      <c r="AJ86"/>
    </row>
    <row r="87" spans="1:36" x14ac:dyDescent="0.3">
      <c r="A87" s="1">
        <v>45323</v>
      </c>
      <c r="B87" s="2">
        <v>2024</v>
      </c>
      <c r="C87" s="2">
        <v>2</v>
      </c>
      <c r="D87" s="2">
        <v>5.4</v>
      </c>
      <c r="E87" s="6">
        <v>23396937</v>
      </c>
      <c r="F87" s="6">
        <v>3817199514</v>
      </c>
      <c r="G87" s="6">
        <v>88659127</v>
      </c>
      <c r="H87" s="6">
        <v>56194205</v>
      </c>
      <c r="I87" s="6">
        <v>138901693.54125544</v>
      </c>
      <c r="J87" s="6">
        <v>65581462.237847425</v>
      </c>
      <c r="K87" s="6">
        <v>140806266</v>
      </c>
      <c r="L87" s="6">
        <v>110985563</v>
      </c>
      <c r="M87" s="6">
        <v>123525611</v>
      </c>
      <c r="N87" s="6">
        <v>808407176</v>
      </c>
      <c r="O87" s="6">
        <v>238340385</v>
      </c>
      <c r="P87" s="6">
        <v>12155934</v>
      </c>
      <c r="Q87" s="6">
        <v>22499694</v>
      </c>
      <c r="R87" s="6">
        <v>17317373</v>
      </c>
      <c r="S87" s="6">
        <v>30526153</v>
      </c>
      <c r="T87" s="6">
        <v>9751874</v>
      </c>
      <c r="U87" s="6"/>
      <c r="V87" s="6"/>
      <c r="W87" s="6">
        <v>5704248968</v>
      </c>
      <c r="X87" s="6">
        <f>SUM(표1[[#This Row],[취사용]:[주한미군]])</f>
        <v>5704248967.7791023</v>
      </c>
      <c r="Y87" s="7">
        <f t="shared" si="1"/>
        <v>0.22089767456054688</v>
      </c>
      <c r="AJ87"/>
    </row>
    <row r="88" spans="1:36" x14ac:dyDescent="0.3">
      <c r="A88" s="1">
        <v>45352</v>
      </c>
      <c r="B88" s="2">
        <v>2024</v>
      </c>
      <c r="C88" s="2">
        <v>3</v>
      </c>
      <c r="D88" s="2">
        <v>8.5</v>
      </c>
      <c r="E88" s="6">
        <v>25986523</v>
      </c>
      <c r="F88" s="6">
        <v>3207957696</v>
      </c>
      <c r="G88" s="6">
        <v>84571098</v>
      </c>
      <c r="H88" s="6">
        <v>48928007</v>
      </c>
      <c r="I88" s="6">
        <v>150378525.23157984</v>
      </c>
      <c r="J88" s="6">
        <v>90858115.492740452</v>
      </c>
      <c r="K88" s="6">
        <v>136009606</v>
      </c>
      <c r="L88" s="6">
        <v>95511949</v>
      </c>
      <c r="M88" s="6">
        <v>91717921</v>
      </c>
      <c r="N88" s="6">
        <v>923318506</v>
      </c>
      <c r="O88" s="6">
        <v>257226972</v>
      </c>
      <c r="P88" s="6">
        <v>12331923</v>
      </c>
      <c r="Q88" s="6">
        <v>20333397</v>
      </c>
      <c r="R88" s="6">
        <v>18832385</v>
      </c>
      <c r="S88" s="6">
        <v>20629411</v>
      </c>
      <c r="T88" s="6">
        <v>8646120</v>
      </c>
      <c r="U88" s="6"/>
      <c r="V88" s="6"/>
      <c r="W88" s="6">
        <v>5193238155</v>
      </c>
      <c r="X88" s="6">
        <f>SUM(표1[[#This Row],[취사용]:[주한미군]])</f>
        <v>5193238154.7243204</v>
      </c>
      <c r="Y88" s="7">
        <f t="shared" si="1"/>
        <v>0.27567958831787109</v>
      </c>
      <c r="AJ88"/>
    </row>
    <row r="89" spans="1:36" x14ac:dyDescent="0.3">
      <c r="A89" s="1">
        <v>45383</v>
      </c>
      <c r="B89" s="2">
        <v>2024</v>
      </c>
      <c r="C89" s="2">
        <v>4</v>
      </c>
      <c r="D89" s="2">
        <v>16.3</v>
      </c>
      <c r="E89" s="6">
        <v>19334663</v>
      </c>
      <c r="F89" s="6">
        <v>1285049365</v>
      </c>
      <c r="G89" s="6">
        <v>38338129</v>
      </c>
      <c r="H89" s="6">
        <v>17309603</v>
      </c>
      <c r="I89" s="6">
        <v>130777358.96477038</v>
      </c>
      <c r="J89" s="6">
        <v>73643558.218715236</v>
      </c>
      <c r="K89" s="6">
        <v>84654051</v>
      </c>
      <c r="L89" s="6">
        <v>40905402</v>
      </c>
      <c r="M89" s="6">
        <v>34078828</v>
      </c>
      <c r="N89" s="6">
        <v>831526827</v>
      </c>
      <c r="O89" s="6">
        <v>249571322</v>
      </c>
      <c r="P89" s="6">
        <v>13186380</v>
      </c>
      <c r="Q89" s="6">
        <v>17659213</v>
      </c>
      <c r="R89" s="6">
        <v>18898302</v>
      </c>
      <c r="S89" s="6">
        <v>1031913</v>
      </c>
      <c r="T89" s="6">
        <v>3493032</v>
      </c>
      <c r="U89" s="6"/>
      <c r="V89" s="6"/>
      <c r="W89" s="6">
        <v>2859457947</v>
      </c>
      <c r="X89" s="6">
        <f>SUM(표1[[#This Row],[취사용]:[주한미군]])</f>
        <v>2859457947.1834855</v>
      </c>
      <c r="Y89" s="7">
        <f t="shared" si="1"/>
        <v>-0.18348550796508789</v>
      </c>
      <c r="AJ89"/>
    </row>
    <row r="90" spans="1:36" x14ac:dyDescent="0.3">
      <c r="A90" s="1">
        <v>45413</v>
      </c>
      <c r="B90" s="2">
        <v>2024</v>
      </c>
      <c r="C90" s="2">
        <v>5</v>
      </c>
      <c r="D90" s="2">
        <v>19.399999999999999</v>
      </c>
      <c r="E90" s="6">
        <v>20887293</v>
      </c>
      <c r="F90" s="6">
        <v>834809207</v>
      </c>
      <c r="G90" s="6">
        <v>23928831</v>
      </c>
      <c r="H90" s="6">
        <v>8580645</v>
      </c>
      <c r="I90" s="6">
        <v>132466735.91605353</v>
      </c>
      <c r="J90" s="6">
        <v>71167562.921801046</v>
      </c>
      <c r="K90" s="6">
        <v>72112615</v>
      </c>
      <c r="L90" s="6">
        <v>27965167</v>
      </c>
      <c r="M90" s="6">
        <v>61249339</v>
      </c>
      <c r="N90" s="6">
        <v>816449032</v>
      </c>
      <c r="O90" s="6">
        <v>264610451</v>
      </c>
      <c r="P90" s="6">
        <v>13430306</v>
      </c>
      <c r="Q90" s="6">
        <v>19778530</v>
      </c>
      <c r="R90" s="6">
        <v>18242492</v>
      </c>
      <c r="S90" s="6">
        <v>9397317</v>
      </c>
      <c r="T90" s="6">
        <v>4057599</v>
      </c>
      <c r="U90" s="6"/>
      <c r="V90" s="6"/>
      <c r="W90" s="6">
        <v>2399133123</v>
      </c>
      <c r="X90" s="6">
        <f>SUM(표1[[#This Row],[취사용]:[주한미군]])</f>
        <v>2399133122.8378544</v>
      </c>
      <c r="Y90" s="7">
        <f t="shared" si="1"/>
        <v>0.16214561462402344</v>
      </c>
      <c r="AJ90"/>
    </row>
    <row r="91" spans="1:36" x14ac:dyDescent="0.3">
      <c r="A91" s="1">
        <v>45444</v>
      </c>
      <c r="B91" s="2">
        <v>2024</v>
      </c>
      <c r="C91" s="2">
        <v>6</v>
      </c>
      <c r="D91" s="2">
        <v>24.6</v>
      </c>
      <c r="E91" s="6">
        <v>19890050</v>
      </c>
      <c r="F91" s="6">
        <v>508435376</v>
      </c>
      <c r="G91" s="6">
        <v>17401648</v>
      </c>
      <c r="H91" s="6">
        <v>5092443</v>
      </c>
      <c r="I91" s="6">
        <v>120941967.25093399</v>
      </c>
      <c r="J91" s="6">
        <v>64952973.597114176</v>
      </c>
      <c r="K91" s="6">
        <v>56888809</v>
      </c>
      <c r="L91" s="6">
        <v>21509010</v>
      </c>
      <c r="M91" s="6">
        <v>124479428</v>
      </c>
      <c r="N91" s="6">
        <v>763220545</v>
      </c>
      <c r="O91" s="6">
        <v>262690779</v>
      </c>
      <c r="P91" s="6">
        <v>13314049</v>
      </c>
      <c r="Q91" s="6">
        <v>22641219</v>
      </c>
      <c r="R91" s="6">
        <v>16517874</v>
      </c>
      <c r="S91" s="6">
        <v>13981133</v>
      </c>
      <c r="T91" s="6">
        <v>2072740</v>
      </c>
      <c r="U91" s="6"/>
      <c r="V91" s="6"/>
      <c r="W91" s="6">
        <v>2034030044</v>
      </c>
      <c r="X91" s="6">
        <f>SUM(표1[[#This Row],[취사용]:[주한미군]])</f>
        <v>2034030043.8480482</v>
      </c>
      <c r="Y91" s="7">
        <f t="shared" si="1"/>
        <v>0.15195178985595703</v>
      </c>
      <c r="AJ91"/>
    </row>
    <row r="92" spans="1:36" x14ac:dyDescent="0.3">
      <c r="A92" s="1">
        <v>45474</v>
      </c>
      <c r="B92" s="2">
        <v>2024</v>
      </c>
      <c r="C92" s="2">
        <v>7</v>
      </c>
      <c r="D92" s="2">
        <v>27.8</v>
      </c>
      <c r="E92" s="6">
        <v>21439475</v>
      </c>
      <c r="F92" s="6">
        <v>455142098</v>
      </c>
      <c r="G92" s="6">
        <v>13625588</v>
      </c>
      <c r="H92" s="6">
        <v>4039283</v>
      </c>
      <c r="I92" s="6">
        <v>125805481.50425677</v>
      </c>
      <c r="J92" s="6">
        <v>58657282.615529276</v>
      </c>
      <c r="K92" s="6">
        <v>55097174</v>
      </c>
      <c r="L92" s="6">
        <v>20708822</v>
      </c>
      <c r="M92" s="6">
        <v>202792130</v>
      </c>
      <c r="N92" s="6">
        <v>737629136</v>
      </c>
      <c r="O92" s="6">
        <v>278838948</v>
      </c>
      <c r="P92" s="6">
        <v>13361043</v>
      </c>
      <c r="Q92" s="6">
        <v>18868168</v>
      </c>
      <c r="R92" s="6">
        <v>19379794</v>
      </c>
      <c r="S92" s="6">
        <v>27189585</v>
      </c>
      <c r="T92" s="6">
        <v>1653976</v>
      </c>
      <c r="U92" s="6"/>
      <c r="V92" s="6"/>
      <c r="W92" s="6">
        <v>2054227984</v>
      </c>
      <c r="X92" s="6">
        <f>SUM(표1[[#This Row],[취사용]:[주한미군]])</f>
        <v>2054227984.119786</v>
      </c>
      <c r="Y92" s="7">
        <f t="shared" si="1"/>
        <v>-0.11978602409362793</v>
      </c>
      <c r="AJ92"/>
    </row>
    <row r="93" spans="1:36" x14ac:dyDescent="0.3">
      <c r="A93" s="1">
        <v>45505</v>
      </c>
      <c r="B93" s="2">
        <v>2024</v>
      </c>
      <c r="C93" s="2">
        <v>8</v>
      </c>
      <c r="D93" s="2">
        <v>29.4</v>
      </c>
      <c r="E93" s="6">
        <v>21259422</v>
      </c>
      <c r="F93" s="6">
        <v>348899055</v>
      </c>
      <c r="G93" s="6">
        <v>12120564</v>
      </c>
      <c r="H93" s="6">
        <v>3025060</v>
      </c>
      <c r="I93" s="6">
        <v>121407431.47462258</v>
      </c>
      <c r="J93" s="6">
        <v>51292276.004592992</v>
      </c>
      <c r="K93" s="6">
        <v>48502961</v>
      </c>
      <c r="L93" s="6">
        <v>18060621</v>
      </c>
      <c r="M93" s="6">
        <v>214741187</v>
      </c>
      <c r="N93" s="6">
        <v>699127170</v>
      </c>
      <c r="O93" s="6">
        <v>280614772</v>
      </c>
      <c r="P93" s="6">
        <v>12070506</v>
      </c>
      <c r="Q93" s="6">
        <v>19576811</v>
      </c>
      <c r="R93" s="6">
        <v>17957022</v>
      </c>
      <c r="S93" s="6">
        <v>11638566</v>
      </c>
      <c r="T93" s="6">
        <v>1331923</v>
      </c>
      <c r="U93" s="6"/>
      <c r="V93" s="6"/>
      <c r="W93" s="6">
        <v>1881625347</v>
      </c>
      <c r="X93" s="6">
        <f>SUM(표1[[#This Row],[취사용]:[주한미군]])</f>
        <v>1881625347.4792156</v>
      </c>
      <c r="Y93" s="7">
        <f t="shared" si="1"/>
        <v>-0.47921562194824219</v>
      </c>
      <c r="AJ93"/>
    </row>
    <row r="94" spans="1:36" x14ac:dyDescent="0.3">
      <c r="A94" s="1">
        <v>45536</v>
      </c>
      <c r="B94" s="2">
        <v>2024</v>
      </c>
      <c r="C94" s="2">
        <v>9</v>
      </c>
      <c r="D94" s="2">
        <v>25.44</v>
      </c>
      <c r="E94" s="6">
        <v>20201217</v>
      </c>
      <c r="F94" s="6">
        <v>349997401</v>
      </c>
      <c r="G94" s="6">
        <v>14703480</v>
      </c>
      <c r="H94" s="6">
        <v>2439889</v>
      </c>
      <c r="I94" s="6">
        <v>115979222.03998719</v>
      </c>
      <c r="J94" s="6">
        <v>56460083.290560201</v>
      </c>
      <c r="K94" s="6">
        <v>50341277</v>
      </c>
      <c r="L94" s="6">
        <v>18049872</v>
      </c>
      <c r="M94" s="6">
        <v>140237725</v>
      </c>
      <c r="N94" s="6">
        <v>732607970</v>
      </c>
      <c r="O94" s="6">
        <v>261018790</v>
      </c>
      <c r="P94" s="6">
        <v>13317251</v>
      </c>
      <c r="Q94" s="6">
        <v>17620198</v>
      </c>
      <c r="R94" s="6">
        <v>18254014</v>
      </c>
      <c r="S94" s="6">
        <v>12718208</v>
      </c>
      <c r="T94" s="6">
        <v>1213106</v>
      </c>
      <c r="U94" s="6"/>
      <c r="V94" s="6"/>
      <c r="W94" s="6">
        <v>1825384184</v>
      </c>
      <c r="X94" s="6">
        <f>SUM(표1[[#This Row],[취사용]:[주한미군]])</f>
        <v>1825159703.3305473</v>
      </c>
      <c r="Y94" s="7">
        <f t="shared" si="1"/>
        <v>224480.66945266724</v>
      </c>
      <c r="AJ94"/>
    </row>
    <row r="95" spans="1:36" x14ac:dyDescent="0.3">
      <c r="A95" s="1">
        <v>45566</v>
      </c>
      <c r="B95" s="2">
        <v>2024</v>
      </c>
      <c r="C95" s="2">
        <v>10</v>
      </c>
      <c r="D95" s="2">
        <v>17</v>
      </c>
      <c r="E95" s="6">
        <v>20653103</v>
      </c>
      <c r="F95" s="6">
        <v>912488516</v>
      </c>
      <c r="G95" s="6">
        <v>25458166</v>
      </c>
      <c r="H95" s="6">
        <v>10691583</v>
      </c>
      <c r="I95" s="6">
        <v>123522756.20237093</v>
      </c>
      <c r="J95" s="6">
        <v>65408250.308820553</v>
      </c>
      <c r="K95" s="6">
        <v>63316724</v>
      </c>
      <c r="L95" s="6">
        <v>26276441</v>
      </c>
      <c r="M95" s="6">
        <v>64421268</v>
      </c>
      <c r="N95" s="6">
        <v>792169917</v>
      </c>
      <c r="O95" s="6">
        <v>256411640</v>
      </c>
      <c r="P95" s="6">
        <v>13323135</v>
      </c>
      <c r="Q95" s="6">
        <v>13662119</v>
      </c>
      <c r="R95" s="6">
        <v>18328023</v>
      </c>
      <c r="S95" s="6">
        <v>466847</v>
      </c>
      <c r="T95" s="6">
        <v>2352196</v>
      </c>
      <c r="U95" s="6"/>
      <c r="V95" s="6"/>
      <c r="W95" s="6">
        <v>2408950685</v>
      </c>
      <c r="X95" s="6">
        <f>SUM(표1[[#This Row],[취사용]:[주한미군]])</f>
        <v>2408950684.5111914</v>
      </c>
      <c r="Y95" s="7">
        <f t="shared" si="1"/>
        <v>0.48880863189697266</v>
      </c>
      <c r="AJ95"/>
    </row>
    <row r="96" spans="1:36" x14ac:dyDescent="0.3">
      <c r="A96" s="1">
        <v>45597</v>
      </c>
      <c r="B96" s="2">
        <v>2024</v>
      </c>
      <c r="C96" s="2">
        <v>11</v>
      </c>
      <c r="D96" s="2">
        <v>10.7</v>
      </c>
      <c r="E96" s="6">
        <v>22357881</v>
      </c>
      <c r="F96" s="6">
        <v>2196377671</v>
      </c>
      <c r="G96" s="6">
        <v>57908802</v>
      </c>
      <c r="H96" s="6">
        <v>29553901</v>
      </c>
      <c r="I96" s="6">
        <v>133738453.28320709</v>
      </c>
      <c r="J96" s="6">
        <v>77158255.936385959</v>
      </c>
      <c r="K96" s="6">
        <v>90588359</v>
      </c>
      <c r="L96" s="6">
        <v>58937662</v>
      </c>
      <c r="M96" s="6">
        <v>58050736</v>
      </c>
      <c r="N96" s="6">
        <v>848759578</v>
      </c>
      <c r="O96" s="6">
        <v>252333612</v>
      </c>
      <c r="P96" s="6">
        <v>12387273</v>
      </c>
      <c r="Q96" s="6">
        <v>18816204</v>
      </c>
      <c r="R96" s="6">
        <v>17580762</v>
      </c>
      <c r="S96" s="6">
        <v>419008</v>
      </c>
      <c r="T96" s="6">
        <v>4295558</v>
      </c>
      <c r="U96" s="6"/>
      <c r="V96" s="6"/>
      <c r="W96" s="6">
        <v>3879263716</v>
      </c>
      <c r="X96" s="6">
        <f>SUM(표1[[#This Row],[취사용]:[주한미군]])</f>
        <v>3879263716.219593</v>
      </c>
      <c r="Y96" s="7">
        <f t="shared" si="1"/>
        <v>-0.21959304809570313</v>
      </c>
      <c r="AJ96"/>
    </row>
    <row r="97" spans="1:36" x14ac:dyDescent="0.3">
      <c r="A97" s="1">
        <v>45627</v>
      </c>
      <c r="B97" s="2">
        <v>2024</v>
      </c>
      <c r="C97" s="2">
        <v>12</v>
      </c>
      <c r="D97" s="2">
        <v>3.5</v>
      </c>
      <c r="E97" s="6">
        <v>26631459</v>
      </c>
      <c r="F97" s="6">
        <v>4527898145</v>
      </c>
      <c r="G97" s="6">
        <v>103713815</v>
      </c>
      <c r="H97" s="6">
        <v>64832644</v>
      </c>
      <c r="I97" s="6">
        <v>159045449.88858077</v>
      </c>
      <c r="J97" s="6">
        <v>90792046.513715819</v>
      </c>
      <c r="K97" s="6">
        <v>147999236</v>
      </c>
      <c r="L97" s="6">
        <v>124501749</v>
      </c>
      <c r="M97" s="6">
        <v>146090643</v>
      </c>
      <c r="N97" s="6">
        <v>903676876</v>
      </c>
      <c r="O97" s="6">
        <v>260173037</v>
      </c>
      <c r="P97" s="6">
        <v>11889102</v>
      </c>
      <c r="Q97" s="6">
        <v>21910596</v>
      </c>
      <c r="R97" s="6">
        <v>19172040</v>
      </c>
      <c r="S97" s="6">
        <v>724299</v>
      </c>
      <c r="T97" s="6">
        <v>10376422</v>
      </c>
      <c r="U97" s="6"/>
      <c r="V97" s="6"/>
      <c r="W97" s="6">
        <v>6619427559</v>
      </c>
      <c r="X97" s="6">
        <f>SUM(표1[[#This Row],[취사용]:[주한미군]])</f>
        <v>6619427559.4022961</v>
      </c>
      <c r="Y97" s="7">
        <f t="shared" si="1"/>
        <v>-0.40229606628417969</v>
      </c>
      <c r="AJ97"/>
    </row>
    <row r="98" spans="1:36" x14ac:dyDescent="0.3">
      <c r="A98" s="10">
        <v>45658</v>
      </c>
      <c r="B98" s="11">
        <v>2025</v>
      </c>
      <c r="C98" s="11">
        <v>1</v>
      </c>
      <c r="D98" s="11">
        <v>1.4</v>
      </c>
      <c r="E98" s="7">
        <v>24943748</v>
      </c>
      <c r="F98" s="7">
        <v>5188735281</v>
      </c>
      <c r="G98" s="7">
        <v>108095722</v>
      </c>
      <c r="H98" s="7">
        <v>74303825</v>
      </c>
      <c r="I98" s="7">
        <v>152496636.97386459</v>
      </c>
      <c r="J98" s="7">
        <v>72698414.788339972</v>
      </c>
      <c r="K98" s="7">
        <v>157998749</v>
      </c>
      <c r="L98" s="7">
        <v>140886113</v>
      </c>
      <c r="M98" s="7">
        <v>169285464</v>
      </c>
      <c r="N98" s="7">
        <v>819712753</v>
      </c>
      <c r="O98" s="7">
        <v>245230758</v>
      </c>
      <c r="P98" s="7">
        <v>11393018</v>
      </c>
      <c r="Q98" s="7">
        <v>25962363</v>
      </c>
      <c r="R98" s="7">
        <v>19632118</v>
      </c>
      <c r="S98" s="7">
        <v>787200</v>
      </c>
      <c r="T98" s="7">
        <v>12186297</v>
      </c>
      <c r="U98" s="7"/>
      <c r="V98" s="7"/>
      <c r="W98" s="7">
        <v>7224348461</v>
      </c>
      <c r="X98" s="7">
        <f>SUM(표1[[#This Row],[취사용]:[주한미군]])</f>
        <v>7224348460.7622042</v>
      </c>
      <c r="Y98" s="7">
        <f t="shared" si="1"/>
        <v>0.23779582977294922</v>
      </c>
    </row>
    <row r="99" spans="1:36" x14ac:dyDescent="0.3">
      <c r="A99" s="1">
        <v>45689</v>
      </c>
      <c r="B99" s="11">
        <v>2025</v>
      </c>
      <c r="C99" s="11">
        <v>2</v>
      </c>
      <c r="D99" s="11">
        <v>1.2</v>
      </c>
      <c r="E99" s="7">
        <v>24370069</v>
      </c>
      <c r="F99" s="7">
        <v>4742738926</v>
      </c>
      <c r="G99" s="7">
        <v>102749791</v>
      </c>
      <c r="H99" s="7">
        <v>69131907</v>
      </c>
      <c r="I99" s="7">
        <v>146771950.2106531</v>
      </c>
      <c r="J99" s="7">
        <v>73091632.507818431</v>
      </c>
      <c r="K99" s="7">
        <v>152727018</v>
      </c>
      <c r="L99" s="7">
        <v>136071857</v>
      </c>
      <c r="M99" s="7">
        <v>154044881</v>
      </c>
      <c r="N99" s="7">
        <v>890379671</v>
      </c>
      <c r="O99" s="7">
        <v>236341016</v>
      </c>
      <c r="P99" s="7">
        <v>9947963</v>
      </c>
      <c r="Q99" s="7">
        <v>25378423</v>
      </c>
      <c r="R99" s="7">
        <v>15917053</v>
      </c>
      <c r="S99" s="7">
        <v>879788</v>
      </c>
      <c r="T99" s="7">
        <v>10672542</v>
      </c>
      <c r="U99" s="7"/>
      <c r="V99" s="7"/>
      <c r="W99" s="7">
        <v>6791214488</v>
      </c>
      <c r="X99" s="7">
        <f>SUM(표1[[#This Row],[취사용]:[주한미군]])</f>
        <v>6791214487.7184715</v>
      </c>
      <c r="Y99" s="7">
        <f t="shared" si="1"/>
        <v>0.28152847290039063</v>
      </c>
    </row>
    <row r="100" spans="1:36" x14ac:dyDescent="0.3">
      <c r="A100" s="10">
        <v>45717</v>
      </c>
      <c r="B100" s="11">
        <v>2025</v>
      </c>
      <c r="C100" s="11">
        <v>3</v>
      </c>
      <c r="D100" s="11">
        <v>9.6</v>
      </c>
      <c r="E100" s="7">
        <v>21970583</v>
      </c>
      <c r="F100" s="7">
        <v>2938270505</v>
      </c>
      <c r="G100" s="7">
        <v>80218505</v>
      </c>
      <c r="H100" s="7">
        <v>41379365</v>
      </c>
      <c r="I100" s="7">
        <v>146109077.19573191</v>
      </c>
      <c r="J100" s="7">
        <v>87356843.511071831</v>
      </c>
      <c r="K100" s="7">
        <v>119262667</v>
      </c>
      <c r="L100" s="7">
        <v>87853644</v>
      </c>
      <c r="M100" s="7">
        <v>86790788</v>
      </c>
      <c r="N100" s="7">
        <v>826248438</v>
      </c>
      <c r="O100" s="7">
        <v>251630784</v>
      </c>
      <c r="P100" s="7">
        <v>11819340</v>
      </c>
      <c r="Q100" s="7">
        <v>25902942</v>
      </c>
      <c r="R100" s="7">
        <v>17491579</v>
      </c>
      <c r="S100" s="7">
        <v>606916</v>
      </c>
      <c r="T100" s="7">
        <v>6854857</v>
      </c>
      <c r="U100" s="7"/>
      <c r="V100" s="7"/>
      <c r="W100" s="7">
        <v>4749766834</v>
      </c>
      <c r="X100" s="7">
        <f>SUM(표1[[#This Row],[취사용]:[주한미군]])</f>
        <v>4749766833.7068043</v>
      </c>
      <c r="Y100" s="7">
        <f t="shared" si="1"/>
        <v>0.29319572448730469</v>
      </c>
    </row>
    <row r="101" spans="1:36" x14ac:dyDescent="0.3">
      <c r="A101" s="10">
        <v>45748</v>
      </c>
      <c r="B101" s="11">
        <v>2025</v>
      </c>
      <c r="C101" s="11">
        <v>4</v>
      </c>
      <c r="D101" s="11">
        <v>14.9</v>
      </c>
      <c r="E101" s="11">
        <v>19571912</v>
      </c>
      <c r="F101" s="11">
        <v>1478723548</v>
      </c>
      <c r="G101" s="11">
        <v>42784248</v>
      </c>
      <c r="H101" s="11">
        <v>17885485</v>
      </c>
      <c r="I101" s="11">
        <v>135201315.68749708</v>
      </c>
      <c r="J101" s="11">
        <v>76508099.601143584</v>
      </c>
      <c r="K101" s="11">
        <v>84053066</v>
      </c>
      <c r="L101" s="11">
        <v>43997483</v>
      </c>
      <c r="M101" s="11">
        <v>36746910</v>
      </c>
      <c r="N101" s="11">
        <v>791304042</v>
      </c>
      <c r="O101" s="11">
        <v>251298301</v>
      </c>
      <c r="P101" s="11">
        <v>11814868</v>
      </c>
      <c r="Q101" s="11">
        <v>22897564</v>
      </c>
      <c r="R101" s="11">
        <v>16554542</v>
      </c>
      <c r="S101" s="11">
        <v>1199348</v>
      </c>
      <c r="T101" s="11">
        <v>2520800</v>
      </c>
      <c r="U101" s="11"/>
      <c r="V101" s="11"/>
      <c r="W101" s="11">
        <v>3033061532</v>
      </c>
      <c r="X101" s="7">
        <f>SUM(표1[[#This Row],[취사용]:[주한미군]])</f>
        <v>3033061532.288641</v>
      </c>
      <c r="Y101" s="12">
        <f t="shared" si="1"/>
        <v>-0.28864097595214844</v>
      </c>
    </row>
    <row r="102" spans="1:36" x14ac:dyDescent="0.3">
      <c r="A102" s="1">
        <v>45778</v>
      </c>
      <c r="B102" s="11">
        <v>2025</v>
      </c>
      <c r="C102" s="11">
        <v>5</v>
      </c>
      <c r="D102" s="11">
        <v>18.100000000000001</v>
      </c>
      <c r="E102" s="11">
        <v>19762938</v>
      </c>
      <c r="F102" s="11">
        <v>905399426</v>
      </c>
      <c r="G102" s="11">
        <v>23829114</v>
      </c>
      <c r="H102" s="11">
        <v>9729447</v>
      </c>
      <c r="I102" s="11">
        <v>134762669.30613315</v>
      </c>
      <c r="J102" s="11">
        <v>75176244.324126795</v>
      </c>
      <c r="K102" s="11">
        <v>68274577</v>
      </c>
      <c r="L102" s="11">
        <v>27992495</v>
      </c>
      <c r="M102" s="11">
        <v>62653591</v>
      </c>
      <c r="N102" s="11">
        <v>728699876</v>
      </c>
      <c r="O102" s="11">
        <v>262403159</v>
      </c>
      <c r="P102" s="11">
        <v>11964368</v>
      </c>
      <c r="Q102" s="11">
        <v>17947084</v>
      </c>
      <c r="R102" s="11">
        <v>16557905</v>
      </c>
      <c r="S102" s="11">
        <v>464679</v>
      </c>
      <c r="T102" s="11">
        <v>2226799</v>
      </c>
      <c r="U102" s="11"/>
      <c r="V102" s="11"/>
      <c r="W102" s="11">
        <v>2367844372</v>
      </c>
      <c r="X102" s="7">
        <f>SUM(표1[[#This Row],[취사용]:[주한미군]])</f>
        <v>2367844371.63026</v>
      </c>
      <c r="Y102" s="12">
        <f t="shared" si="1"/>
        <v>0.36974000930786133</v>
      </c>
    </row>
    <row r="103" spans="1:36" x14ac:dyDescent="0.3">
      <c r="A103" s="10">
        <v>45809</v>
      </c>
      <c r="B103" s="11">
        <v>2025</v>
      </c>
      <c r="C103" s="11">
        <v>6</v>
      </c>
      <c r="D103" s="11">
        <v>24.8</v>
      </c>
      <c r="E103" s="11">
        <v>18680337</v>
      </c>
      <c r="F103" s="11">
        <v>508182440</v>
      </c>
      <c r="G103" s="11">
        <v>16470659</v>
      </c>
      <c r="H103" s="11">
        <v>6980260</v>
      </c>
      <c r="I103" s="11">
        <v>122588373.71219382</v>
      </c>
      <c r="J103" s="11">
        <v>66625419.18158485</v>
      </c>
      <c r="K103" s="11">
        <v>53881642</v>
      </c>
      <c r="L103" s="11">
        <v>20430807</v>
      </c>
      <c r="M103" s="11">
        <v>136876544</v>
      </c>
      <c r="N103" s="11">
        <v>689750897</v>
      </c>
      <c r="O103" s="11">
        <v>259332171</v>
      </c>
      <c r="P103" s="11">
        <v>12286731</v>
      </c>
      <c r="Q103" s="11">
        <v>10163874</v>
      </c>
      <c r="R103" s="11">
        <v>16933147</v>
      </c>
      <c r="S103" s="11">
        <v>537097</v>
      </c>
      <c r="T103" s="11">
        <v>1870822</v>
      </c>
      <c r="U103" s="11"/>
      <c r="V103" s="11"/>
      <c r="W103" s="11">
        <v>1941591221</v>
      </c>
      <c r="X103" s="7">
        <f>SUM(표1[[#This Row],[취사용]:[주한미군]])</f>
        <v>1941591220.8937788</v>
      </c>
      <c r="Y103" s="12">
        <f t="shared" si="1"/>
        <v>0.10622119903564453</v>
      </c>
    </row>
    <row r="104" spans="1:36" x14ac:dyDescent="0.3">
      <c r="A104" s="10">
        <v>45839</v>
      </c>
      <c r="B104" s="11">
        <v>2025</v>
      </c>
      <c r="C104" s="11">
        <v>7</v>
      </c>
      <c r="D104" s="11">
        <v>28</v>
      </c>
      <c r="E104" s="11">
        <v>19549921</v>
      </c>
      <c r="F104" s="11">
        <v>382748311</v>
      </c>
      <c r="G104" s="11">
        <v>11777512</v>
      </c>
      <c r="H104" s="11">
        <v>3682849</v>
      </c>
      <c r="I104" s="11">
        <v>124514100.32039772</v>
      </c>
      <c r="J104" s="11">
        <v>56668700.962451123</v>
      </c>
      <c r="K104" s="11">
        <v>48344231</v>
      </c>
      <c r="L104" s="11">
        <v>19089774</v>
      </c>
      <c r="M104" s="11">
        <v>201593874</v>
      </c>
      <c r="N104" s="11">
        <v>706665798</v>
      </c>
      <c r="O104" s="11">
        <v>282160535</v>
      </c>
      <c r="P104" s="11">
        <v>11773136</v>
      </c>
      <c r="Q104" s="11">
        <v>18034265</v>
      </c>
      <c r="R104" s="11">
        <v>16809784</v>
      </c>
      <c r="S104" s="11">
        <v>1060137</v>
      </c>
      <c r="T104" s="11">
        <v>1625846</v>
      </c>
      <c r="U104" s="11"/>
      <c r="V104" s="11"/>
      <c r="W104" s="11"/>
      <c r="X104" s="7">
        <f>SUM(표1[[#This Row],[취사용]:[주한미군]])</f>
        <v>1906098774.2828488</v>
      </c>
      <c r="Y104" s="12">
        <f t="shared" si="1"/>
        <v>-1906098774.2828488</v>
      </c>
    </row>
    <row r="105" spans="1:36" x14ac:dyDescent="0.3">
      <c r="A105" s="10">
        <v>45870</v>
      </c>
      <c r="B105" s="11">
        <v>2025</v>
      </c>
      <c r="C105" s="11">
        <v>8</v>
      </c>
      <c r="D105" s="11">
        <v>28.8</v>
      </c>
      <c r="E105" s="11">
        <v>18384407</v>
      </c>
      <c r="F105" s="11">
        <v>332095017</v>
      </c>
      <c r="G105" s="11">
        <v>9554700</v>
      </c>
      <c r="H105" s="11">
        <v>3579467</v>
      </c>
      <c r="I105" s="11">
        <v>119811159.69808817</v>
      </c>
      <c r="J105" s="11">
        <v>50986374.586311951</v>
      </c>
      <c r="K105" s="11">
        <v>42689672</v>
      </c>
      <c r="L105" s="11">
        <v>17369075</v>
      </c>
      <c r="M105" s="11">
        <v>205147405</v>
      </c>
      <c r="N105" s="11">
        <v>659294110</v>
      </c>
      <c r="O105" s="11">
        <v>277821651</v>
      </c>
      <c r="P105" s="11">
        <v>12083983</v>
      </c>
      <c r="Q105" s="11">
        <v>17777433</v>
      </c>
      <c r="R105" s="11">
        <v>16372684</v>
      </c>
      <c r="S105" s="11">
        <v>571528</v>
      </c>
      <c r="T105" s="11">
        <v>1585241</v>
      </c>
      <c r="U105" s="11"/>
      <c r="V105" s="11"/>
      <c r="W105" s="11"/>
      <c r="X105" s="7">
        <f>SUM(표1[[#This Row],[취사용]:[주한미군]])</f>
        <v>1785123907.2844</v>
      </c>
      <c r="Y105" s="12">
        <f>W105-X105</f>
        <v>-1785123907.2844</v>
      </c>
    </row>
    <row r="106" spans="1:36" x14ac:dyDescent="0.3">
      <c r="A106" s="10">
        <v>45901</v>
      </c>
      <c r="B106" s="11">
        <v>2025</v>
      </c>
      <c r="C106" s="11">
        <v>9</v>
      </c>
      <c r="D106" s="11"/>
      <c r="E106" s="11">
        <v>18695808</v>
      </c>
      <c r="F106" s="11">
        <v>430237840</v>
      </c>
      <c r="G106" s="11">
        <v>12642341</v>
      </c>
      <c r="H106" s="11">
        <v>4348496</v>
      </c>
      <c r="I106" s="11">
        <v>119594987.44946215</v>
      </c>
      <c r="J106" s="11">
        <v>59309865.662162974</v>
      </c>
      <c r="K106" s="11">
        <v>46039400</v>
      </c>
      <c r="L106" s="11">
        <v>18489488</v>
      </c>
      <c r="M106" s="11">
        <v>164433469</v>
      </c>
      <c r="N106" s="11">
        <v>723868611</v>
      </c>
      <c r="O106" s="11">
        <v>266680584</v>
      </c>
      <c r="P106" s="11">
        <v>13347254</v>
      </c>
      <c r="Q106" s="11">
        <v>13571736</v>
      </c>
      <c r="R106" s="11">
        <v>18162599</v>
      </c>
      <c r="S106" s="11">
        <v>540267</v>
      </c>
      <c r="T106" s="11">
        <v>1923350</v>
      </c>
      <c r="U106" s="11"/>
      <c r="V106" s="11"/>
      <c r="W106" s="11"/>
      <c r="X106" s="7">
        <f>SUM(표1[[#This Row],[취사용]:[주한미군]])</f>
        <v>1911886096.1116252</v>
      </c>
      <c r="Y106" s="12">
        <f t="shared" ref="Y106:Y109" si="2">W106-X106</f>
        <v>-1911886096.1116252</v>
      </c>
    </row>
    <row r="107" spans="1:36" x14ac:dyDescent="0.3">
      <c r="A107" s="10">
        <v>45931</v>
      </c>
      <c r="B107" s="11">
        <v>2025</v>
      </c>
      <c r="C107" s="11">
        <v>10</v>
      </c>
      <c r="D107" s="11"/>
      <c r="E107" s="11">
        <v>18386079</v>
      </c>
      <c r="F107" s="11">
        <v>919460257</v>
      </c>
      <c r="G107" s="11">
        <v>24466654</v>
      </c>
      <c r="H107" s="11">
        <v>11110394</v>
      </c>
      <c r="I107" s="11">
        <v>120920427.37084815</v>
      </c>
      <c r="J107" s="11">
        <v>59901752.651949584</v>
      </c>
      <c r="K107" s="11">
        <v>64207346</v>
      </c>
      <c r="L107" s="11">
        <v>26783948</v>
      </c>
      <c r="M107" s="11">
        <v>69094387</v>
      </c>
      <c r="N107" s="11">
        <v>683233964</v>
      </c>
      <c r="O107" s="11">
        <v>249985920</v>
      </c>
      <c r="P107" s="11">
        <v>14505872</v>
      </c>
      <c r="Q107" s="11">
        <v>12934911</v>
      </c>
      <c r="R107" s="11">
        <v>17819923</v>
      </c>
      <c r="S107" s="11">
        <v>502300</v>
      </c>
      <c r="T107" s="11">
        <v>2258927</v>
      </c>
      <c r="U107" s="11"/>
      <c r="V107" s="11"/>
      <c r="W107" s="11"/>
      <c r="X107" s="7">
        <f>SUM(표1[[#This Row],[취사용]:[주한미군]])</f>
        <v>2295573062.0227976</v>
      </c>
      <c r="Y107" s="12">
        <f t="shared" si="2"/>
        <v>-2295573062.0227976</v>
      </c>
    </row>
    <row r="108" spans="1:36" x14ac:dyDescent="0.3">
      <c r="A108" s="10">
        <v>45962</v>
      </c>
      <c r="B108" s="11">
        <v>2025</v>
      </c>
      <c r="C108" s="11">
        <v>11</v>
      </c>
      <c r="D108" s="11"/>
      <c r="E108" s="11">
        <v>22136974</v>
      </c>
      <c r="F108" s="11">
        <v>2433837216</v>
      </c>
      <c r="G108" s="11">
        <v>57359723</v>
      </c>
      <c r="H108" s="11">
        <v>31887682</v>
      </c>
      <c r="I108" s="11">
        <v>139293077.2890085</v>
      </c>
      <c r="J108" s="11">
        <v>80954767.372829318</v>
      </c>
      <c r="K108" s="11">
        <v>101601979</v>
      </c>
      <c r="L108" s="11">
        <v>67852915</v>
      </c>
      <c r="M108" s="11">
        <v>65545933</v>
      </c>
      <c r="N108" s="11">
        <v>817327409</v>
      </c>
      <c r="O108" s="11">
        <v>250148114</v>
      </c>
      <c r="P108" s="11">
        <v>12117109</v>
      </c>
      <c r="Q108" s="11">
        <v>20516970</v>
      </c>
      <c r="R108" s="11">
        <v>17121095</v>
      </c>
      <c r="S108" s="11">
        <v>18025286</v>
      </c>
      <c r="T108" s="11">
        <v>5376101</v>
      </c>
      <c r="U108" s="11"/>
      <c r="V108" s="11"/>
      <c r="W108" s="11"/>
      <c r="X108" s="7">
        <f>SUM(표1[[#This Row],[취사용]:[주한미군]])</f>
        <v>4141102350.6618381</v>
      </c>
      <c r="Y108" s="12">
        <f t="shared" si="2"/>
        <v>-4141102350.6618381</v>
      </c>
    </row>
    <row r="109" spans="1:36" x14ac:dyDescent="0.3">
      <c r="A109" s="10">
        <v>45992</v>
      </c>
      <c r="B109" s="11">
        <v>2025</v>
      </c>
      <c r="C109" s="11">
        <v>12</v>
      </c>
      <c r="D109" s="11"/>
      <c r="E109" s="11">
        <v>23984595</v>
      </c>
      <c r="F109" s="11">
        <v>4469753201</v>
      </c>
      <c r="G109" s="11">
        <v>90118034</v>
      </c>
      <c r="H109" s="11">
        <v>60903792</v>
      </c>
      <c r="I109" s="11">
        <v>155129248.66123533</v>
      </c>
      <c r="J109" s="11">
        <v>87380301.765593976</v>
      </c>
      <c r="K109" s="11">
        <v>140478379</v>
      </c>
      <c r="L109" s="11">
        <v>123077380</v>
      </c>
      <c r="M109" s="11">
        <v>141178658</v>
      </c>
      <c r="N109" s="11">
        <v>850607066</v>
      </c>
      <c r="O109" s="11">
        <v>264560654</v>
      </c>
      <c r="P109" s="11">
        <v>9690460</v>
      </c>
      <c r="Q109" s="11">
        <v>26548318.517999999</v>
      </c>
      <c r="R109" s="11">
        <v>19384086</v>
      </c>
      <c r="S109" s="11">
        <v>13448177</v>
      </c>
      <c r="T109" s="11">
        <v>9690044</v>
      </c>
      <c r="U109" s="11"/>
      <c r="V109" s="11"/>
      <c r="W109" s="11"/>
      <c r="X109" s="7">
        <f>SUM(표1[[#This Row],[취사용]:[주한미군]])</f>
        <v>6485932394.944829</v>
      </c>
      <c r="Y109" s="12">
        <f t="shared" si="2"/>
        <v>-6485932394.944829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공급량_실적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2026-05-20T06:04:25Z</dcterms:created>
  <dcterms:modified xsi:type="dcterms:W3CDTF">2026-05-20T06:06:32Z</dcterms:modified>
</cp:coreProperties>
</file>