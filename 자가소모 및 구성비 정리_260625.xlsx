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2. 사업계획\2027년\"/>
    </mc:Choice>
  </mc:AlternateContent>
  <xr:revisionPtr revIDLastSave="0" documentId="8_{CFBEA2FD-9AE3-4B65-93BC-A2514B78D4EC}" xr6:coauthVersionLast="47" xr6:coauthVersionMax="47" xr10:uidLastSave="{00000000-0000-0000-0000-000000000000}"/>
  <bookViews>
    <workbookView xWindow="-28920" yWindow="3900" windowWidth="29040" windowHeight="15720" activeTab="1" xr2:uid="{6BD5B93A-C63A-497A-9728-D5EB02F7927C}"/>
  </bookViews>
  <sheets>
    <sheet name="자가소모" sheetId="2" r:id="rId1"/>
    <sheet name="구성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V17" i="2" s="1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I17" i="1"/>
  <c r="AG17" i="1"/>
  <c r="BE17" i="1"/>
  <c r="CC17" i="1"/>
  <c r="DA17" i="1"/>
  <c r="C16" i="1"/>
  <c r="D16" i="1"/>
  <c r="E16" i="1"/>
  <c r="F16" i="1"/>
  <c r="G16" i="1"/>
  <c r="H16" i="1"/>
  <c r="I16" i="1"/>
  <c r="J16" i="1"/>
  <c r="J17" i="1" s="1"/>
  <c r="K16" i="1"/>
  <c r="K17" i="1" s="1"/>
  <c r="L16" i="1"/>
  <c r="L17" i="1" s="1"/>
  <c r="M16" i="1"/>
  <c r="M17" i="1" s="1"/>
  <c r="N16" i="1"/>
  <c r="O16" i="1"/>
  <c r="O17" i="1" s="1"/>
  <c r="P16" i="1"/>
  <c r="Q16" i="1"/>
  <c r="R16" i="1"/>
  <c r="S16" i="1"/>
  <c r="T16" i="1"/>
  <c r="U16" i="1"/>
  <c r="U17" i="1" s="1"/>
  <c r="V16" i="1"/>
  <c r="V17" i="1" s="1"/>
  <c r="W16" i="1"/>
  <c r="W17" i="1" s="1"/>
  <c r="X16" i="1"/>
  <c r="X17" i="1" s="1"/>
  <c r="Y16" i="1"/>
  <c r="Y17" i="1" s="1"/>
  <c r="Z16" i="1"/>
  <c r="AA16" i="1"/>
  <c r="AA17" i="1" s="1"/>
  <c r="AB16" i="1"/>
  <c r="AC16" i="1"/>
  <c r="AD16" i="1"/>
  <c r="AE16" i="1"/>
  <c r="AF16" i="1"/>
  <c r="AG16" i="1"/>
  <c r="AH16" i="1"/>
  <c r="AH17" i="1" s="1"/>
  <c r="AI16" i="1"/>
  <c r="AI17" i="1" s="1"/>
  <c r="AJ16" i="1"/>
  <c r="AJ17" i="1" s="1"/>
  <c r="AK16" i="1"/>
  <c r="AK17" i="1" s="1"/>
  <c r="AL16" i="1"/>
  <c r="AM16" i="1"/>
  <c r="AM17" i="1" s="1"/>
  <c r="AN16" i="1"/>
  <c r="AO16" i="1"/>
  <c r="AP16" i="1"/>
  <c r="AQ16" i="1"/>
  <c r="AR16" i="1"/>
  <c r="AS16" i="1"/>
  <c r="AS17" i="1" s="1"/>
  <c r="AT16" i="1"/>
  <c r="AT17" i="1" s="1"/>
  <c r="AU16" i="1"/>
  <c r="AU17" i="1" s="1"/>
  <c r="AV16" i="1"/>
  <c r="AV17" i="1" s="1"/>
  <c r="AW16" i="1"/>
  <c r="AW17" i="1" s="1"/>
  <c r="AX16" i="1"/>
  <c r="AY16" i="1"/>
  <c r="AY17" i="1" s="1"/>
  <c r="AZ16" i="1"/>
  <c r="BA16" i="1"/>
  <c r="BB16" i="1"/>
  <c r="BC16" i="1"/>
  <c r="BD16" i="1"/>
  <c r="BE16" i="1"/>
  <c r="BF16" i="1"/>
  <c r="BF17" i="1" s="1"/>
  <c r="BG16" i="1"/>
  <c r="BG17" i="1" s="1"/>
  <c r="BH16" i="1"/>
  <c r="BH17" i="1" s="1"/>
  <c r="BI16" i="1"/>
  <c r="BI17" i="1" s="1"/>
  <c r="BJ16" i="1"/>
  <c r="BK16" i="1"/>
  <c r="BK17" i="1" s="1"/>
  <c r="BL16" i="1"/>
  <c r="BM16" i="1"/>
  <c r="BN16" i="1"/>
  <c r="BO16" i="1"/>
  <c r="BP16" i="1"/>
  <c r="BQ16" i="1"/>
  <c r="BQ17" i="1" s="1"/>
  <c r="BR16" i="1"/>
  <c r="BR17" i="1" s="1"/>
  <c r="BS16" i="1"/>
  <c r="BS17" i="1" s="1"/>
  <c r="BT16" i="1"/>
  <c r="BT17" i="1" s="1"/>
  <c r="BU16" i="1"/>
  <c r="BU17" i="1" s="1"/>
  <c r="BV16" i="1"/>
  <c r="BW16" i="1"/>
  <c r="BW17" i="1" s="1"/>
  <c r="BX16" i="1"/>
  <c r="BY16" i="1"/>
  <c r="BZ16" i="1"/>
  <c r="CA16" i="1"/>
  <c r="CB16" i="1"/>
  <c r="CC16" i="1"/>
  <c r="CD16" i="1"/>
  <c r="CD17" i="1" s="1"/>
  <c r="CE16" i="1"/>
  <c r="CE17" i="1" s="1"/>
  <c r="CF16" i="1"/>
  <c r="CF17" i="1" s="1"/>
  <c r="CG16" i="1"/>
  <c r="CG17" i="1" s="1"/>
  <c r="CH16" i="1"/>
  <c r="CI16" i="1"/>
  <c r="CI17" i="1" s="1"/>
  <c r="CJ16" i="1"/>
  <c r="CK16" i="1"/>
  <c r="CL16" i="1"/>
  <c r="CM16" i="1"/>
  <c r="CN16" i="1"/>
  <c r="CO16" i="1"/>
  <c r="CO17" i="1" s="1"/>
  <c r="CP16" i="1"/>
  <c r="CP17" i="1" s="1"/>
  <c r="CQ16" i="1"/>
  <c r="CQ17" i="1" s="1"/>
  <c r="CR16" i="1"/>
  <c r="CR17" i="1" s="1"/>
  <c r="CS16" i="1"/>
  <c r="CS17" i="1" s="1"/>
  <c r="CT16" i="1"/>
  <c r="CU16" i="1"/>
  <c r="CU17" i="1" s="1"/>
  <c r="CV16" i="1"/>
  <c r="CW16" i="1"/>
  <c r="CX16" i="1"/>
  <c r="CY16" i="1"/>
  <c r="CZ16" i="1"/>
  <c r="DA16" i="1"/>
  <c r="DB16" i="1"/>
  <c r="DB17" i="1" s="1"/>
  <c r="DC16" i="1"/>
  <c r="DC17" i="1" s="1"/>
  <c r="DD16" i="1"/>
  <c r="DD17" i="1" s="1"/>
  <c r="DE16" i="1"/>
  <c r="DE17" i="1" s="1"/>
  <c r="DF16" i="1"/>
  <c r="DG16" i="1"/>
  <c r="DH16" i="1"/>
  <c r="DI16" i="1"/>
  <c r="DJ16" i="1"/>
  <c r="DK16" i="1"/>
  <c r="DL16" i="1"/>
  <c r="DM16" i="1"/>
  <c r="DM17" i="1" s="1"/>
  <c r="DN16" i="1"/>
  <c r="DN17" i="1" s="1"/>
  <c r="DO16" i="1"/>
  <c r="DO17" i="1" s="1"/>
  <c r="DP16" i="1"/>
  <c r="DP17" i="1" s="1"/>
  <c r="DQ16" i="1"/>
  <c r="DQ17" i="1" s="1"/>
  <c r="DR16" i="1"/>
  <c r="DS16" i="1"/>
  <c r="DS17" i="1" s="1"/>
  <c r="DT16" i="1"/>
  <c r="DU16" i="1"/>
  <c r="DV16" i="1"/>
  <c r="DV6" i="1"/>
  <c r="DV17" i="1" s="1"/>
  <c r="DU6" i="1"/>
  <c r="DU17" i="1" s="1"/>
  <c r="DT6" i="1"/>
  <c r="DT17" i="1" s="1"/>
  <c r="DS6" i="1"/>
  <c r="DR6" i="1"/>
  <c r="DQ6" i="1"/>
  <c r="DP6" i="1"/>
  <c r="DO6" i="1"/>
  <c r="DN6" i="1"/>
  <c r="DM6" i="1"/>
  <c r="DL6" i="1"/>
  <c r="DK6" i="1"/>
  <c r="DJ6" i="1"/>
  <c r="DJ17" i="1" s="1"/>
  <c r="DI6" i="1"/>
  <c r="DI17" i="1" s="1"/>
  <c r="DH6" i="1"/>
  <c r="DH17" i="1" s="1"/>
  <c r="DG6" i="1"/>
  <c r="DF6" i="1"/>
  <c r="DE6" i="1"/>
  <c r="DD6" i="1"/>
  <c r="DC6" i="1"/>
  <c r="DB6" i="1"/>
  <c r="DA6" i="1"/>
  <c r="CZ6" i="1"/>
  <c r="CY6" i="1"/>
  <c r="CX6" i="1"/>
  <c r="CX17" i="1" s="1"/>
  <c r="CW6" i="1"/>
  <c r="CW17" i="1" s="1"/>
  <c r="CV6" i="1"/>
  <c r="CV17" i="1" s="1"/>
  <c r="CU6" i="1"/>
  <c r="CT6" i="1"/>
  <c r="CS6" i="1"/>
  <c r="CR6" i="1"/>
  <c r="CQ6" i="1"/>
  <c r="CP6" i="1"/>
  <c r="CO6" i="1"/>
  <c r="CN6" i="1"/>
  <c r="CM6" i="1"/>
  <c r="CL6" i="1"/>
  <c r="CL17" i="1" s="1"/>
  <c r="CK6" i="1"/>
  <c r="CK17" i="1" s="1"/>
  <c r="CJ6" i="1"/>
  <c r="CJ17" i="1" s="1"/>
  <c r="CI6" i="1"/>
  <c r="CH6" i="1"/>
  <c r="CG6" i="1"/>
  <c r="CF6" i="1"/>
  <c r="CE6" i="1"/>
  <c r="CD6" i="1"/>
  <c r="CC6" i="1"/>
  <c r="CB6" i="1"/>
  <c r="CA6" i="1"/>
  <c r="BZ6" i="1"/>
  <c r="BZ17" i="1" s="1"/>
  <c r="BY6" i="1"/>
  <c r="BY17" i="1" s="1"/>
  <c r="BX6" i="1"/>
  <c r="BX17" i="1" s="1"/>
  <c r="BW6" i="1"/>
  <c r="BV6" i="1"/>
  <c r="BU6" i="1"/>
  <c r="BT6" i="1"/>
  <c r="BS6" i="1"/>
  <c r="BR6" i="1"/>
  <c r="BQ6" i="1"/>
  <c r="BP6" i="1"/>
  <c r="BO6" i="1"/>
  <c r="BN6" i="1"/>
  <c r="BN17" i="1" s="1"/>
  <c r="BM6" i="1"/>
  <c r="BM17" i="1" s="1"/>
  <c r="BL6" i="1"/>
  <c r="BL17" i="1" s="1"/>
  <c r="BK6" i="1"/>
  <c r="BJ6" i="1"/>
  <c r="BI6" i="1"/>
  <c r="BH6" i="1"/>
  <c r="BG6" i="1"/>
  <c r="BF6" i="1"/>
  <c r="BE6" i="1"/>
  <c r="BD6" i="1"/>
  <c r="BC6" i="1"/>
  <c r="BB6" i="1"/>
  <c r="BB17" i="1" s="1"/>
  <c r="BA6" i="1"/>
  <c r="BA17" i="1" s="1"/>
  <c r="AZ6" i="1"/>
  <c r="AZ17" i="1" s="1"/>
  <c r="AY6" i="1"/>
  <c r="AX6" i="1"/>
  <c r="AW6" i="1"/>
  <c r="AV6" i="1"/>
  <c r="AU6" i="1"/>
  <c r="AT6" i="1"/>
  <c r="AS6" i="1"/>
  <c r="AR6" i="1"/>
  <c r="AQ6" i="1"/>
  <c r="AP6" i="1"/>
  <c r="AP17" i="1" s="1"/>
  <c r="AO6" i="1"/>
  <c r="AO17" i="1" s="1"/>
  <c r="AN6" i="1"/>
  <c r="AN17" i="1" s="1"/>
  <c r="AM6" i="1"/>
  <c r="AL6" i="1"/>
  <c r="AK6" i="1"/>
  <c r="AJ6" i="1"/>
  <c r="AI6" i="1"/>
  <c r="AH6" i="1"/>
  <c r="AG6" i="1"/>
  <c r="AF6" i="1"/>
  <c r="AE6" i="1"/>
  <c r="AD6" i="1"/>
  <c r="AD17" i="1" s="1"/>
  <c r="AC6" i="1"/>
  <c r="AC17" i="1" s="1"/>
  <c r="AB6" i="1"/>
  <c r="AB17" i="1" s="1"/>
  <c r="AA6" i="1"/>
  <c r="Z6" i="1"/>
  <c r="Y6" i="1"/>
  <c r="X6" i="1"/>
  <c r="W6" i="1"/>
  <c r="V6" i="1"/>
  <c r="U6" i="1"/>
  <c r="T6" i="1"/>
  <c r="S6" i="1"/>
  <c r="R6" i="1"/>
  <c r="R17" i="1" s="1"/>
  <c r="Q6" i="1"/>
  <c r="Q17" i="1" s="1"/>
  <c r="P6" i="1"/>
  <c r="P17" i="1" s="1"/>
  <c r="O6" i="1"/>
  <c r="N6" i="1"/>
  <c r="M6" i="1"/>
  <c r="L6" i="1"/>
  <c r="K6" i="1"/>
  <c r="J6" i="1"/>
  <c r="I6" i="1"/>
  <c r="H6" i="1"/>
  <c r="G6" i="1"/>
  <c r="F6" i="1"/>
  <c r="F17" i="1" s="1"/>
  <c r="E6" i="1"/>
  <c r="E17" i="1" s="1"/>
  <c r="DG17" i="1" l="1"/>
  <c r="N17" i="1"/>
  <c r="Z17" i="1"/>
  <c r="AL17" i="1"/>
  <c r="AX17" i="1"/>
  <c r="BJ17" i="1"/>
  <c r="BV17" i="1"/>
  <c r="CH17" i="1"/>
  <c r="CT17" i="1"/>
  <c r="DF17" i="1"/>
  <c r="DR17" i="1"/>
  <c r="G17" i="1"/>
  <c r="AE17" i="1"/>
  <c r="BC17" i="1"/>
  <c r="CA17" i="1"/>
  <c r="CY17" i="1"/>
  <c r="H17" i="1"/>
  <c r="AF17" i="1"/>
  <c r="BD17" i="1"/>
  <c r="CB17" i="1"/>
  <c r="CN17" i="1"/>
  <c r="CZ17" i="1"/>
  <c r="DL17" i="1"/>
  <c r="S17" i="1"/>
  <c r="AQ17" i="1"/>
  <c r="BO17" i="1"/>
  <c r="CM17" i="1"/>
  <c r="DK17" i="1"/>
  <c r="T17" i="1"/>
  <c r="AR17" i="1"/>
  <c r="BP17" i="1"/>
  <c r="C6" i="1"/>
  <c r="C17" i="1" s="1"/>
  <c r="D6" i="1"/>
  <c r="D17" i="1" s="1"/>
</calcChain>
</file>

<file path=xl/sharedStrings.xml><?xml version="1.0" encoding="utf-8"?>
<sst xmlns="http://schemas.openxmlformats.org/spreadsheetml/2006/main" count="40" uniqueCount="19">
  <si>
    <t>정산그룹</t>
  </si>
  <si>
    <t>주택용</t>
  </si>
  <si>
    <t>소    계</t>
  </si>
  <si>
    <t>기타</t>
  </si>
  <si>
    <t>정산항목</t>
  </si>
  <si>
    <t>취사용</t>
  </si>
  <si>
    <t>개별난방용</t>
  </si>
  <si>
    <t>중앙난방용</t>
  </si>
  <si>
    <t>자가열전용</t>
  </si>
  <si>
    <t>일반용</t>
  </si>
  <si>
    <t>냉난방공조용</t>
  </si>
  <si>
    <t>업무난방용</t>
  </si>
  <si>
    <t>산업용</t>
  </si>
  <si>
    <t>수송용</t>
  </si>
  <si>
    <t>열병합용</t>
  </si>
  <si>
    <t>연료전지용</t>
  </si>
  <si>
    <t>열전용설비용</t>
  </si>
  <si>
    <t>주한미군</t>
  </si>
  <si>
    <t>합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</si>
</sst>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"/>
    <numFmt numFmtId="177" formatCode="#,##0.0000_);[Red]\(#,##0.0000\)"/>
    <numFmt numFmtId="178" formatCode="#,##0.00_);[Red]\(#,##0.0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0" fillId="3" borderId="14" xfId="0" applyNumberFormat="1" applyFill="1" applyBorder="1">
      <alignment vertical="center"/>
    </xf>
    <xf numFmtId="177" fontId="0" fillId="3" borderId="15" xfId="0" applyNumberFormat="1" applyFill="1" applyBorder="1">
      <alignment vertical="center"/>
    </xf>
    <xf numFmtId="177" fontId="0" fillId="3" borderId="20" xfId="0" applyNumberFormat="1" applyFill="1" applyBorder="1">
      <alignment vertical="center"/>
    </xf>
    <xf numFmtId="177" fontId="0" fillId="3" borderId="21" xfId="0" applyNumberFormat="1" applyFill="1" applyBorder="1">
      <alignment vertical="center"/>
    </xf>
    <xf numFmtId="177" fontId="2" fillId="2" borderId="17" xfId="0" applyNumberFormat="1" applyFont="1" applyFill="1" applyBorder="1">
      <alignment vertical="center"/>
    </xf>
    <xf numFmtId="177" fontId="2" fillId="2" borderId="18" xfId="0" applyNumberFormat="1" applyFont="1" applyFill="1" applyBorder="1">
      <alignment vertical="center"/>
    </xf>
    <xf numFmtId="0" fontId="0" fillId="0" borderId="5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176" fontId="2" fillId="2" borderId="3" xfId="0" applyNumberFormat="1" applyFont="1" applyFill="1" applyBorder="1" applyAlignment="1">
      <alignment horizontal="center" vertical="center"/>
    </xf>
    <xf numFmtId="178" fontId="0" fillId="0" borderId="5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9" xfId="0" applyNumberFormat="1" applyBorder="1">
      <alignment vertical="center"/>
    </xf>
    <xf numFmtId="178" fontId="3" fillId="3" borderId="14" xfId="0" applyNumberFormat="1" applyFont="1" applyFill="1" applyBorder="1">
      <alignment vertical="center"/>
    </xf>
    <xf numFmtId="178" fontId="3" fillId="3" borderId="15" xfId="0" applyNumberFormat="1" applyFont="1" applyFill="1" applyBorder="1">
      <alignment vertical="center"/>
    </xf>
    <xf numFmtId="178" fontId="0" fillId="0" borderId="11" xfId="0" applyNumberFormat="1" applyBorder="1">
      <alignment vertical="center"/>
    </xf>
    <xf numFmtId="178" fontId="0" fillId="0" borderId="12" xfId="0" applyNumberFormat="1" applyBorder="1">
      <alignment vertical="center"/>
    </xf>
    <xf numFmtId="178" fontId="0" fillId="3" borderId="20" xfId="0" applyNumberFormat="1" applyFill="1" applyBorder="1">
      <alignment vertical="center"/>
    </xf>
    <xf numFmtId="178" fontId="0" fillId="3" borderId="21" xfId="0" applyNumberFormat="1" applyFill="1" applyBorder="1">
      <alignment vertical="center"/>
    </xf>
    <xf numFmtId="178" fontId="2" fillId="2" borderId="17" xfId="0" applyNumberFormat="1" applyFont="1" applyFill="1" applyBorder="1">
      <alignment vertical="center"/>
    </xf>
    <xf numFmtId="178" fontId="2" fillId="2" borderId="18" xfId="0" applyNumberFormat="1" applyFont="1" applyFill="1" applyBorder="1">
      <alignment vertical="center"/>
    </xf>
    <xf numFmtId="177" fontId="0" fillId="0" borderId="0" xfId="0" applyNumberFormat="1">
      <alignment vertical="center"/>
    </xf>
    <xf numFmtId="177" fontId="0" fillId="0" borderId="5" xfId="0" applyNumberFormat="1" applyBorder="1">
      <alignment vertical="center"/>
    </xf>
    <xf numFmtId="177" fontId="0" fillId="0" borderId="11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12" xfId="0" applyNumberFormat="1" applyBorder="1">
      <alignment vertical="center"/>
    </xf>
    <xf numFmtId="177" fontId="0" fillId="0" borderId="6" xfId="0" applyNumberFormat="1" applyBorder="1">
      <alignment vertical="center"/>
    </xf>
    <xf numFmtId="177" fontId="0" fillId="0" borderId="9" xfId="0" applyNumberFormat="1" applyBorder="1">
      <alignment vertical="center"/>
    </xf>
    <xf numFmtId="177" fontId="0" fillId="0" borderId="22" xfId="0" applyNumberFormat="1" applyBorder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F49F-B8DF-4BD7-A4A1-D8DAFD01436F}">
  <dimension ref="A1:DV17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6.5" x14ac:dyDescent="0.3"/>
  <cols>
    <col min="2" max="2" width="15.125" bestFit="1" customWidth="1"/>
    <col min="3" max="126" width="15.625" customWidth="1"/>
  </cols>
  <sheetData>
    <row r="1" spans="1:126" s="1" customFormat="1" ht="30" customHeight="1" x14ac:dyDescent="0.3">
      <c r="A1" s="2" t="s">
        <v>0</v>
      </c>
      <c r="B1" s="3" t="s">
        <v>4</v>
      </c>
      <c r="C1" s="4">
        <v>42370</v>
      </c>
      <c r="D1" s="4">
        <v>42401</v>
      </c>
      <c r="E1" s="4">
        <v>42430</v>
      </c>
      <c r="F1" s="4">
        <v>42461</v>
      </c>
      <c r="G1" s="4">
        <v>42491</v>
      </c>
      <c r="H1" s="4">
        <v>42522</v>
      </c>
      <c r="I1" s="4">
        <v>42552</v>
      </c>
      <c r="J1" s="4">
        <v>42583</v>
      </c>
      <c r="K1" s="4">
        <v>42614</v>
      </c>
      <c r="L1" s="4">
        <v>42644</v>
      </c>
      <c r="M1" s="4">
        <v>42675</v>
      </c>
      <c r="N1" s="4">
        <v>42705</v>
      </c>
      <c r="O1" s="4">
        <v>42736</v>
      </c>
      <c r="P1" s="4">
        <v>42767</v>
      </c>
      <c r="Q1" s="4">
        <v>42795</v>
      </c>
      <c r="R1" s="4">
        <v>42826</v>
      </c>
      <c r="S1" s="4">
        <v>42856</v>
      </c>
      <c r="T1" s="4">
        <v>42887</v>
      </c>
      <c r="U1" s="4">
        <v>42917</v>
      </c>
      <c r="V1" s="4">
        <v>42948</v>
      </c>
      <c r="W1" s="4">
        <v>42979</v>
      </c>
      <c r="X1" s="4">
        <v>43009</v>
      </c>
      <c r="Y1" s="4">
        <v>43040</v>
      </c>
      <c r="Z1" s="4">
        <v>43070</v>
      </c>
      <c r="AA1" s="4">
        <v>43101</v>
      </c>
      <c r="AB1" s="4">
        <v>43132</v>
      </c>
      <c r="AC1" s="4">
        <v>43160</v>
      </c>
      <c r="AD1" s="4">
        <v>43191</v>
      </c>
      <c r="AE1" s="4">
        <v>43221</v>
      </c>
      <c r="AF1" s="4">
        <v>43252</v>
      </c>
      <c r="AG1" s="4">
        <v>43282</v>
      </c>
      <c r="AH1" s="4">
        <v>43313</v>
      </c>
      <c r="AI1" s="4">
        <v>43344</v>
      </c>
      <c r="AJ1" s="4">
        <v>43374</v>
      </c>
      <c r="AK1" s="4">
        <v>43405</v>
      </c>
      <c r="AL1" s="4">
        <v>43435</v>
      </c>
      <c r="AM1" s="4">
        <v>43466</v>
      </c>
      <c r="AN1" s="4">
        <v>43497</v>
      </c>
      <c r="AO1" s="4">
        <v>43525</v>
      </c>
      <c r="AP1" s="4">
        <v>43556</v>
      </c>
      <c r="AQ1" s="4">
        <v>43586</v>
      </c>
      <c r="AR1" s="4">
        <v>43617</v>
      </c>
      <c r="AS1" s="4">
        <v>43647</v>
      </c>
      <c r="AT1" s="4">
        <v>43678</v>
      </c>
      <c r="AU1" s="4">
        <v>43709</v>
      </c>
      <c r="AV1" s="4">
        <v>43739</v>
      </c>
      <c r="AW1" s="4">
        <v>43770</v>
      </c>
      <c r="AX1" s="4">
        <v>43800</v>
      </c>
      <c r="AY1" s="4">
        <v>43831</v>
      </c>
      <c r="AZ1" s="4">
        <v>43862</v>
      </c>
      <c r="BA1" s="4">
        <v>43891</v>
      </c>
      <c r="BB1" s="4">
        <v>43922</v>
      </c>
      <c r="BC1" s="4">
        <v>43952</v>
      </c>
      <c r="BD1" s="4">
        <v>43983</v>
      </c>
      <c r="BE1" s="4">
        <v>44013</v>
      </c>
      <c r="BF1" s="4">
        <v>44044</v>
      </c>
      <c r="BG1" s="4">
        <v>44075</v>
      </c>
      <c r="BH1" s="4">
        <v>44105</v>
      </c>
      <c r="BI1" s="4">
        <v>44136</v>
      </c>
      <c r="BJ1" s="4">
        <v>44166</v>
      </c>
      <c r="BK1" s="4">
        <v>44197</v>
      </c>
      <c r="BL1" s="4">
        <v>44228</v>
      </c>
      <c r="BM1" s="4">
        <v>44256</v>
      </c>
      <c r="BN1" s="4">
        <v>44287</v>
      </c>
      <c r="BO1" s="4">
        <v>44317</v>
      </c>
      <c r="BP1" s="4">
        <v>44348</v>
      </c>
      <c r="BQ1" s="4">
        <v>44378</v>
      </c>
      <c r="BR1" s="4">
        <v>44409</v>
      </c>
      <c r="BS1" s="4">
        <v>44440</v>
      </c>
      <c r="BT1" s="4">
        <v>44470</v>
      </c>
      <c r="BU1" s="4">
        <v>44501</v>
      </c>
      <c r="BV1" s="4">
        <v>44531</v>
      </c>
      <c r="BW1" s="4">
        <v>44562</v>
      </c>
      <c r="BX1" s="4">
        <v>44593</v>
      </c>
      <c r="BY1" s="4">
        <v>44621</v>
      </c>
      <c r="BZ1" s="4">
        <v>44652</v>
      </c>
      <c r="CA1" s="4">
        <v>44682</v>
      </c>
      <c r="CB1" s="4">
        <v>44713</v>
      </c>
      <c r="CC1" s="4">
        <v>44743</v>
      </c>
      <c r="CD1" s="4">
        <v>44774</v>
      </c>
      <c r="CE1" s="4">
        <v>44805</v>
      </c>
      <c r="CF1" s="4">
        <v>44835</v>
      </c>
      <c r="CG1" s="4">
        <v>44866</v>
      </c>
      <c r="CH1" s="4">
        <v>44896</v>
      </c>
      <c r="CI1" s="4">
        <v>44927</v>
      </c>
      <c r="CJ1" s="4">
        <v>44958</v>
      </c>
      <c r="CK1" s="4">
        <v>44986</v>
      </c>
      <c r="CL1" s="4">
        <v>45017</v>
      </c>
      <c r="CM1" s="4">
        <v>45047</v>
      </c>
      <c r="CN1" s="4">
        <v>45078</v>
      </c>
      <c r="CO1" s="4">
        <v>45108</v>
      </c>
      <c r="CP1" s="4">
        <v>45139</v>
      </c>
      <c r="CQ1" s="4">
        <v>45170</v>
      </c>
      <c r="CR1" s="4">
        <v>45200</v>
      </c>
      <c r="CS1" s="4">
        <v>45231</v>
      </c>
      <c r="CT1" s="4">
        <v>45261</v>
      </c>
      <c r="CU1" s="4">
        <v>45292</v>
      </c>
      <c r="CV1" s="4">
        <v>45323</v>
      </c>
      <c r="CW1" s="4">
        <v>45352</v>
      </c>
      <c r="CX1" s="4">
        <v>45383</v>
      </c>
      <c r="CY1" s="4">
        <v>45413</v>
      </c>
      <c r="CZ1" s="4">
        <v>45444</v>
      </c>
      <c r="DA1" s="4">
        <v>45474</v>
      </c>
      <c r="DB1" s="4">
        <v>45505</v>
      </c>
      <c r="DC1" s="4">
        <v>45536</v>
      </c>
      <c r="DD1" s="4">
        <v>45566</v>
      </c>
      <c r="DE1" s="4">
        <v>45597</v>
      </c>
      <c r="DF1" s="4">
        <v>45627</v>
      </c>
      <c r="DG1" s="4">
        <v>45658</v>
      </c>
      <c r="DH1" s="4">
        <v>45689</v>
      </c>
      <c r="DI1" s="4">
        <v>45717</v>
      </c>
      <c r="DJ1" s="4">
        <v>45748</v>
      </c>
      <c r="DK1" s="4">
        <v>45778</v>
      </c>
      <c r="DL1" s="4">
        <v>45809</v>
      </c>
      <c r="DM1" s="4">
        <v>45839</v>
      </c>
      <c r="DN1" s="4">
        <v>45870</v>
      </c>
      <c r="DO1" s="4">
        <v>45901</v>
      </c>
      <c r="DP1" s="4">
        <v>45931</v>
      </c>
      <c r="DQ1" s="4">
        <v>45962</v>
      </c>
      <c r="DR1" s="4">
        <v>45992</v>
      </c>
      <c r="DS1" s="4">
        <v>46023</v>
      </c>
      <c r="DT1" s="4">
        <v>46054</v>
      </c>
      <c r="DU1" s="4">
        <v>46082</v>
      </c>
      <c r="DV1" s="14">
        <v>46113</v>
      </c>
    </row>
    <row r="2" spans="1:126" ht="24.95" customHeight="1" x14ac:dyDescent="0.3">
      <c r="A2" s="37" t="s">
        <v>1</v>
      </c>
      <c r="B2" s="11" t="s">
        <v>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6"/>
    </row>
    <row r="3" spans="1:126" ht="24.95" customHeight="1" x14ac:dyDescent="0.3">
      <c r="A3" s="37"/>
      <c r="B3" s="11" t="s">
        <v>6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6"/>
    </row>
    <row r="4" spans="1:126" ht="24.95" customHeight="1" x14ac:dyDescent="0.3">
      <c r="A4" s="37"/>
      <c r="B4" s="11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6"/>
    </row>
    <row r="5" spans="1:126" ht="24.95" customHeight="1" x14ac:dyDescent="0.3">
      <c r="A5" s="38"/>
      <c r="B5" s="12" t="s">
        <v>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8"/>
    </row>
    <row r="6" spans="1:126" ht="35.1" customHeight="1" x14ac:dyDescent="0.3">
      <c r="A6" s="39" t="s">
        <v>2</v>
      </c>
      <c r="B6" s="40"/>
      <c r="C6" s="19">
        <f t="shared" ref="C6:AH6" si="0">SUM(C2:C5)</f>
        <v>0</v>
      </c>
      <c r="D6" s="19">
        <f t="shared" si="0"/>
        <v>0</v>
      </c>
      <c r="E6" s="19">
        <f t="shared" si="0"/>
        <v>0</v>
      </c>
      <c r="F6" s="19">
        <f t="shared" si="0"/>
        <v>0</v>
      </c>
      <c r="G6" s="19">
        <f t="shared" si="0"/>
        <v>0</v>
      </c>
      <c r="H6" s="19">
        <f t="shared" si="0"/>
        <v>0</v>
      </c>
      <c r="I6" s="19">
        <f t="shared" si="0"/>
        <v>0</v>
      </c>
      <c r="J6" s="19">
        <f t="shared" si="0"/>
        <v>0</v>
      </c>
      <c r="K6" s="19">
        <f t="shared" si="0"/>
        <v>0</v>
      </c>
      <c r="L6" s="19">
        <f t="shared" si="0"/>
        <v>0</v>
      </c>
      <c r="M6" s="19">
        <f t="shared" si="0"/>
        <v>0</v>
      </c>
      <c r="N6" s="19">
        <f t="shared" si="0"/>
        <v>0</v>
      </c>
      <c r="O6" s="19">
        <f t="shared" si="0"/>
        <v>0</v>
      </c>
      <c r="P6" s="19">
        <f t="shared" si="0"/>
        <v>0</v>
      </c>
      <c r="Q6" s="19">
        <f t="shared" si="0"/>
        <v>0</v>
      </c>
      <c r="R6" s="19">
        <f t="shared" si="0"/>
        <v>0</v>
      </c>
      <c r="S6" s="19">
        <f t="shared" si="0"/>
        <v>0</v>
      </c>
      <c r="T6" s="19">
        <f t="shared" si="0"/>
        <v>0</v>
      </c>
      <c r="U6" s="19">
        <f t="shared" si="0"/>
        <v>0</v>
      </c>
      <c r="V6" s="19">
        <f t="shared" si="0"/>
        <v>0</v>
      </c>
      <c r="W6" s="19">
        <f t="shared" si="0"/>
        <v>0</v>
      </c>
      <c r="X6" s="19">
        <f t="shared" si="0"/>
        <v>0</v>
      </c>
      <c r="Y6" s="19">
        <f t="shared" si="0"/>
        <v>0</v>
      </c>
      <c r="Z6" s="19">
        <f t="shared" si="0"/>
        <v>0</v>
      </c>
      <c r="AA6" s="19">
        <f t="shared" si="0"/>
        <v>0</v>
      </c>
      <c r="AB6" s="19">
        <f t="shared" si="0"/>
        <v>0</v>
      </c>
      <c r="AC6" s="19">
        <f t="shared" si="0"/>
        <v>0</v>
      </c>
      <c r="AD6" s="19">
        <f t="shared" si="0"/>
        <v>0</v>
      </c>
      <c r="AE6" s="19">
        <f t="shared" si="0"/>
        <v>0</v>
      </c>
      <c r="AF6" s="19">
        <f t="shared" si="0"/>
        <v>0</v>
      </c>
      <c r="AG6" s="19">
        <f t="shared" si="0"/>
        <v>0</v>
      </c>
      <c r="AH6" s="19">
        <f t="shared" si="0"/>
        <v>0</v>
      </c>
      <c r="AI6" s="19">
        <f t="shared" ref="AI6:BN6" si="1">SUM(AI2:AI5)</f>
        <v>0</v>
      </c>
      <c r="AJ6" s="19">
        <f t="shared" si="1"/>
        <v>0</v>
      </c>
      <c r="AK6" s="19">
        <f t="shared" si="1"/>
        <v>0</v>
      </c>
      <c r="AL6" s="19">
        <f t="shared" si="1"/>
        <v>0</v>
      </c>
      <c r="AM6" s="19">
        <f t="shared" si="1"/>
        <v>0</v>
      </c>
      <c r="AN6" s="19">
        <f t="shared" si="1"/>
        <v>0</v>
      </c>
      <c r="AO6" s="19">
        <f t="shared" si="1"/>
        <v>0</v>
      </c>
      <c r="AP6" s="19">
        <f t="shared" si="1"/>
        <v>0</v>
      </c>
      <c r="AQ6" s="19">
        <f t="shared" si="1"/>
        <v>0</v>
      </c>
      <c r="AR6" s="19">
        <f t="shared" si="1"/>
        <v>0</v>
      </c>
      <c r="AS6" s="19">
        <f t="shared" si="1"/>
        <v>0</v>
      </c>
      <c r="AT6" s="19">
        <f t="shared" si="1"/>
        <v>0</v>
      </c>
      <c r="AU6" s="19">
        <f t="shared" si="1"/>
        <v>0</v>
      </c>
      <c r="AV6" s="19">
        <f t="shared" si="1"/>
        <v>0</v>
      </c>
      <c r="AW6" s="19">
        <f t="shared" si="1"/>
        <v>0</v>
      </c>
      <c r="AX6" s="19">
        <f t="shared" si="1"/>
        <v>0</v>
      </c>
      <c r="AY6" s="19">
        <f t="shared" si="1"/>
        <v>0</v>
      </c>
      <c r="AZ6" s="19">
        <f t="shared" si="1"/>
        <v>0</v>
      </c>
      <c r="BA6" s="19">
        <f t="shared" si="1"/>
        <v>0</v>
      </c>
      <c r="BB6" s="19">
        <f t="shared" si="1"/>
        <v>0</v>
      </c>
      <c r="BC6" s="19">
        <f t="shared" si="1"/>
        <v>0</v>
      </c>
      <c r="BD6" s="19">
        <f t="shared" si="1"/>
        <v>0</v>
      </c>
      <c r="BE6" s="19">
        <f t="shared" si="1"/>
        <v>0</v>
      </c>
      <c r="BF6" s="19">
        <f t="shared" si="1"/>
        <v>0</v>
      </c>
      <c r="BG6" s="19">
        <f t="shared" si="1"/>
        <v>0</v>
      </c>
      <c r="BH6" s="19">
        <f t="shared" si="1"/>
        <v>0</v>
      </c>
      <c r="BI6" s="19">
        <f t="shared" si="1"/>
        <v>0</v>
      </c>
      <c r="BJ6" s="19">
        <f t="shared" si="1"/>
        <v>0</v>
      </c>
      <c r="BK6" s="19">
        <f t="shared" si="1"/>
        <v>0</v>
      </c>
      <c r="BL6" s="19">
        <f t="shared" si="1"/>
        <v>0</v>
      </c>
      <c r="BM6" s="19">
        <f t="shared" si="1"/>
        <v>0</v>
      </c>
      <c r="BN6" s="19">
        <f t="shared" si="1"/>
        <v>0</v>
      </c>
      <c r="BO6" s="19">
        <f t="shared" ref="BO6:CT6" si="2">SUM(BO2:BO5)</f>
        <v>0</v>
      </c>
      <c r="BP6" s="19">
        <f t="shared" si="2"/>
        <v>0</v>
      </c>
      <c r="BQ6" s="19">
        <f t="shared" si="2"/>
        <v>0</v>
      </c>
      <c r="BR6" s="19">
        <f t="shared" si="2"/>
        <v>0</v>
      </c>
      <c r="BS6" s="19">
        <f t="shared" si="2"/>
        <v>0</v>
      </c>
      <c r="BT6" s="19">
        <f t="shared" si="2"/>
        <v>0</v>
      </c>
      <c r="BU6" s="19">
        <f t="shared" si="2"/>
        <v>0</v>
      </c>
      <c r="BV6" s="19">
        <f t="shared" si="2"/>
        <v>0</v>
      </c>
      <c r="BW6" s="19">
        <f t="shared" si="2"/>
        <v>0</v>
      </c>
      <c r="BX6" s="19">
        <f t="shared" si="2"/>
        <v>0</v>
      </c>
      <c r="BY6" s="19">
        <f t="shared" si="2"/>
        <v>0</v>
      </c>
      <c r="BZ6" s="19">
        <f t="shared" si="2"/>
        <v>0</v>
      </c>
      <c r="CA6" s="19">
        <f t="shared" si="2"/>
        <v>0</v>
      </c>
      <c r="CB6" s="19">
        <f t="shared" si="2"/>
        <v>0</v>
      </c>
      <c r="CC6" s="19">
        <f t="shared" si="2"/>
        <v>0</v>
      </c>
      <c r="CD6" s="19">
        <f t="shared" si="2"/>
        <v>0</v>
      </c>
      <c r="CE6" s="19">
        <f t="shared" si="2"/>
        <v>0</v>
      </c>
      <c r="CF6" s="19">
        <f t="shared" si="2"/>
        <v>0</v>
      </c>
      <c r="CG6" s="19">
        <f t="shared" si="2"/>
        <v>0</v>
      </c>
      <c r="CH6" s="19">
        <f t="shared" si="2"/>
        <v>0</v>
      </c>
      <c r="CI6" s="19">
        <f t="shared" si="2"/>
        <v>0</v>
      </c>
      <c r="CJ6" s="19">
        <f t="shared" si="2"/>
        <v>0</v>
      </c>
      <c r="CK6" s="19">
        <f t="shared" si="2"/>
        <v>0</v>
      </c>
      <c r="CL6" s="19">
        <f t="shared" si="2"/>
        <v>0</v>
      </c>
      <c r="CM6" s="19">
        <f t="shared" si="2"/>
        <v>0</v>
      </c>
      <c r="CN6" s="19">
        <f t="shared" si="2"/>
        <v>0</v>
      </c>
      <c r="CO6" s="19">
        <f t="shared" si="2"/>
        <v>0</v>
      </c>
      <c r="CP6" s="19">
        <f t="shared" si="2"/>
        <v>0</v>
      </c>
      <c r="CQ6" s="19">
        <f t="shared" si="2"/>
        <v>0</v>
      </c>
      <c r="CR6" s="19">
        <f t="shared" si="2"/>
        <v>0</v>
      </c>
      <c r="CS6" s="19">
        <f t="shared" si="2"/>
        <v>0</v>
      </c>
      <c r="CT6" s="19">
        <f t="shared" si="2"/>
        <v>0</v>
      </c>
      <c r="CU6" s="19">
        <f t="shared" ref="CU6:DV6" si="3">SUM(CU2:CU5)</f>
        <v>0</v>
      </c>
      <c r="CV6" s="19">
        <f t="shared" si="3"/>
        <v>0</v>
      </c>
      <c r="CW6" s="19">
        <f t="shared" si="3"/>
        <v>0</v>
      </c>
      <c r="CX6" s="19">
        <f t="shared" si="3"/>
        <v>0</v>
      </c>
      <c r="CY6" s="19">
        <f t="shared" si="3"/>
        <v>0</v>
      </c>
      <c r="CZ6" s="19">
        <f t="shared" si="3"/>
        <v>0</v>
      </c>
      <c r="DA6" s="19">
        <f t="shared" si="3"/>
        <v>0</v>
      </c>
      <c r="DB6" s="19">
        <f t="shared" si="3"/>
        <v>0</v>
      </c>
      <c r="DC6" s="19">
        <f t="shared" si="3"/>
        <v>0</v>
      </c>
      <c r="DD6" s="19">
        <f t="shared" si="3"/>
        <v>0</v>
      </c>
      <c r="DE6" s="19">
        <f t="shared" si="3"/>
        <v>0</v>
      </c>
      <c r="DF6" s="19">
        <f t="shared" si="3"/>
        <v>0</v>
      </c>
      <c r="DG6" s="19">
        <f t="shared" si="3"/>
        <v>0</v>
      </c>
      <c r="DH6" s="19">
        <f t="shared" si="3"/>
        <v>0</v>
      </c>
      <c r="DI6" s="19">
        <f t="shared" si="3"/>
        <v>0</v>
      </c>
      <c r="DJ6" s="19">
        <f t="shared" si="3"/>
        <v>0</v>
      </c>
      <c r="DK6" s="19">
        <f t="shared" si="3"/>
        <v>0</v>
      </c>
      <c r="DL6" s="19">
        <f t="shared" si="3"/>
        <v>0</v>
      </c>
      <c r="DM6" s="19">
        <f t="shared" si="3"/>
        <v>0</v>
      </c>
      <c r="DN6" s="19">
        <f t="shared" si="3"/>
        <v>0</v>
      </c>
      <c r="DO6" s="19">
        <f t="shared" si="3"/>
        <v>0</v>
      </c>
      <c r="DP6" s="19">
        <f t="shared" si="3"/>
        <v>0</v>
      </c>
      <c r="DQ6" s="19">
        <f t="shared" si="3"/>
        <v>0</v>
      </c>
      <c r="DR6" s="19">
        <f t="shared" si="3"/>
        <v>0</v>
      </c>
      <c r="DS6" s="19">
        <f t="shared" si="3"/>
        <v>0</v>
      </c>
      <c r="DT6" s="19">
        <f t="shared" si="3"/>
        <v>0</v>
      </c>
      <c r="DU6" s="19">
        <f t="shared" si="3"/>
        <v>0</v>
      </c>
      <c r="DV6" s="20">
        <f t="shared" si="3"/>
        <v>0</v>
      </c>
    </row>
    <row r="7" spans="1:126" ht="24.95" customHeight="1" x14ac:dyDescent="0.3">
      <c r="A7" s="41" t="s">
        <v>3</v>
      </c>
      <c r="B7" s="13" t="s">
        <v>9</v>
      </c>
      <c r="C7" s="21">
        <v>14037</v>
      </c>
      <c r="D7" s="21">
        <v>10660</v>
      </c>
      <c r="E7" s="21">
        <v>13928</v>
      </c>
      <c r="F7" s="21">
        <v>6570</v>
      </c>
      <c r="G7" s="21">
        <v>6773</v>
      </c>
      <c r="H7" s="21">
        <v>5759</v>
      </c>
      <c r="I7" s="21">
        <v>5655</v>
      </c>
      <c r="J7" s="21">
        <v>5701</v>
      </c>
      <c r="K7" s="21">
        <v>4790</v>
      </c>
      <c r="L7" s="21">
        <v>6449</v>
      </c>
      <c r="M7" s="21">
        <v>8632</v>
      </c>
      <c r="N7" s="21">
        <v>11511</v>
      </c>
      <c r="O7" s="21">
        <v>10991</v>
      </c>
      <c r="P7" s="21">
        <v>12166</v>
      </c>
      <c r="Q7" s="21">
        <v>11581</v>
      </c>
      <c r="R7" s="21">
        <v>7134</v>
      </c>
      <c r="S7" s="21">
        <v>5120</v>
      </c>
      <c r="T7" s="21">
        <v>5903</v>
      </c>
      <c r="U7" s="21">
        <v>6202</v>
      </c>
      <c r="V7" s="21">
        <v>5401</v>
      </c>
      <c r="W7" s="21">
        <v>6145</v>
      </c>
      <c r="X7" s="21">
        <v>4770</v>
      </c>
      <c r="Y7" s="21">
        <v>8735</v>
      </c>
      <c r="Z7" s="21">
        <v>10906</v>
      </c>
      <c r="AA7" s="21">
        <v>15153.53</v>
      </c>
      <c r="AB7" s="21">
        <v>14667.353999999999</v>
      </c>
      <c r="AC7" s="21">
        <v>15019.487999999999</v>
      </c>
      <c r="AD7" s="21">
        <v>12575.56</v>
      </c>
      <c r="AE7" s="21">
        <v>10411.52</v>
      </c>
      <c r="AF7" s="21">
        <v>8251.6200000000008</v>
      </c>
      <c r="AG7" s="21">
        <v>9124.6</v>
      </c>
      <c r="AH7" s="21">
        <v>10173.84</v>
      </c>
      <c r="AI7" s="21">
        <v>7509.933</v>
      </c>
      <c r="AJ7" s="21">
        <v>9028.0049999999992</v>
      </c>
      <c r="AK7" s="21">
        <v>11489.858</v>
      </c>
      <c r="AL7" s="21">
        <v>13393.17</v>
      </c>
      <c r="AM7" s="21">
        <v>18395.572</v>
      </c>
      <c r="AN7" s="21">
        <v>14229.125</v>
      </c>
      <c r="AO7" s="21">
        <v>14092.986999999999</v>
      </c>
      <c r="AP7" s="21">
        <v>12843.867</v>
      </c>
      <c r="AQ7" s="21">
        <v>11064.56</v>
      </c>
      <c r="AR7" s="21">
        <v>10025.805</v>
      </c>
      <c r="AS7" s="21">
        <v>12009.252</v>
      </c>
      <c r="AT7" s="21">
        <v>9693.1270000000004</v>
      </c>
      <c r="AU7" s="21">
        <v>8943.27</v>
      </c>
      <c r="AV7" s="21">
        <v>10629.81</v>
      </c>
      <c r="AW7" s="21">
        <v>12084.665999999999</v>
      </c>
      <c r="AX7" s="21">
        <v>16950.421999999999</v>
      </c>
      <c r="AY7" s="21">
        <v>20043.62</v>
      </c>
      <c r="AZ7" s="21">
        <v>19229.287</v>
      </c>
      <c r="BA7" s="21">
        <v>11665.824000000001</v>
      </c>
      <c r="BB7" s="21">
        <v>10047.936</v>
      </c>
      <c r="BC7" s="21">
        <v>5535.4</v>
      </c>
      <c r="BD7" s="21">
        <v>6640.7640000000001</v>
      </c>
      <c r="BE7" s="21">
        <v>7721.5320000000002</v>
      </c>
      <c r="BF7" s="21">
        <v>8843.4539999999997</v>
      </c>
      <c r="BG7" s="21">
        <v>9813.64</v>
      </c>
      <c r="BH7" s="21">
        <v>9762.7279999999992</v>
      </c>
      <c r="BI7" s="21">
        <v>17674.074000000001</v>
      </c>
      <c r="BJ7" s="21">
        <v>36505.326000000001</v>
      </c>
      <c r="BK7" s="21">
        <v>17027.633999999998</v>
      </c>
      <c r="BL7" s="21">
        <v>15837.156000000001</v>
      </c>
      <c r="BM7" s="21">
        <v>17723.263999999999</v>
      </c>
      <c r="BN7" s="21">
        <v>12582.906000000001</v>
      </c>
      <c r="BO7" s="21">
        <v>12931.433999999999</v>
      </c>
      <c r="BP7" s="21">
        <v>20006.490000000002</v>
      </c>
      <c r="BQ7" s="21">
        <v>10655.25</v>
      </c>
      <c r="BR7" s="21">
        <v>7480</v>
      </c>
      <c r="BS7" s="21">
        <v>7982.8559999999998</v>
      </c>
      <c r="BT7" s="21">
        <v>8076.9</v>
      </c>
      <c r="BU7" s="21">
        <v>9053.5650000000005</v>
      </c>
      <c r="BV7" s="21">
        <v>10024.629999999999</v>
      </c>
      <c r="BW7" s="21">
        <v>9295.1280000000006</v>
      </c>
      <c r="BX7" s="21">
        <v>9884.098</v>
      </c>
      <c r="BY7" s="21">
        <v>9481.3420000000006</v>
      </c>
      <c r="BZ7" s="21">
        <v>9346.5319999999992</v>
      </c>
      <c r="CA7" s="21">
        <v>8524.1650000000009</v>
      </c>
      <c r="CB7" s="21">
        <v>7228.13</v>
      </c>
      <c r="CC7" s="21">
        <v>8069.9</v>
      </c>
      <c r="CD7" s="21">
        <v>7911.1549999999997</v>
      </c>
      <c r="CE7" s="21">
        <v>7026.36</v>
      </c>
      <c r="CF7" s="21">
        <v>7027.0720000000001</v>
      </c>
      <c r="CG7" s="21">
        <v>8790.4</v>
      </c>
      <c r="CH7" s="21">
        <v>9455.16</v>
      </c>
      <c r="CI7" s="21">
        <v>9671.625</v>
      </c>
      <c r="CJ7" s="21">
        <v>9478.7000000000007</v>
      </c>
      <c r="CK7" s="21">
        <v>10209.249</v>
      </c>
      <c r="CL7" s="21">
        <v>8843.7860000000001</v>
      </c>
      <c r="CM7" s="21">
        <v>7153.2719999999999</v>
      </c>
      <c r="CN7" s="21">
        <v>8083.93</v>
      </c>
      <c r="CO7" s="21">
        <v>8193.6</v>
      </c>
      <c r="CP7" s="21">
        <v>6891.9660000000003</v>
      </c>
      <c r="CQ7" s="21">
        <v>5050.7169999999996</v>
      </c>
      <c r="CR7" s="21">
        <v>5752.4849999999997</v>
      </c>
      <c r="CS7" s="21">
        <v>7256.45</v>
      </c>
      <c r="CT7" s="21">
        <v>7363.2259999999997</v>
      </c>
      <c r="CU7" s="21">
        <v>8609.8459999999995</v>
      </c>
      <c r="CV7" s="21">
        <v>7240.2979999999998</v>
      </c>
      <c r="CW7" s="21">
        <v>7644.21</v>
      </c>
      <c r="CX7" s="21">
        <v>7394.1930000000002</v>
      </c>
      <c r="CY7" s="21">
        <v>6221.4979999999996</v>
      </c>
      <c r="CZ7" s="21">
        <v>5938.66</v>
      </c>
      <c r="DA7" s="21">
        <v>7235.54</v>
      </c>
      <c r="DB7" s="21">
        <v>6337.1189999999997</v>
      </c>
      <c r="DC7" s="21">
        <v>5260.5870000000004</v>
      </c>
      <c r="DD7" s="21">
        <v>6429.58</v>
      </c>
      <c r="DE7" s="21">
        <v>8031.5479999999998</v>
      </c>
      <c r="DF7" s="21">
        <v>7965.45</v>
      </c>
      <c r="DG7" s="21">
        <v>7225.1760000000004</v>
      </c>
      <c r="DH7" s="21">
        <v>8495.3880000000008</v>
      </c>
      <c r="DI7" s="21">
        <v>7598.2560000000003</v>
      </c>
      <c r="DJ7" s="21">
        <v>8390.6239999999998</v>
      </c>
      <c r="DK7" s="21">
        <v>6309.98</v>
      </c>
      <c r="DL7" s="21">
        <v>15244.4038</v>
      </c>
      <c r="DM7" s="21">
        <v>15769.1402</v>
      </c>
      <c r="DN7" s="21">
        <v>16936.632000000001</v>
      </c>
      <c r="DO7" s="21">
        <v>16385.189600000002</v>
      </c>
      <c r="DP7" s="21">
        <v>21273.0245</v>
      </c>
      <c r="DQ7" s="21">
        <v>16160.915499999999</v>
      </c>
      <c r="DR7" s="21">
        <v>25686.940299999998</v>
      </c>
      <c r="DS7" s="21">
        <v>22894.32</v>
      </c>
      <c r="DT7" s="21">
        <v>19212.75</v>
      </c>
      <c r="DU7" s="21">
        <v>21105.16</v>
      </c>
      <c r="DV7" s="22">
        <v>25351.79</v>
      </c>
    </row>
    <row r="8" spans="1:126" ht="24.95" customHeight="1" x14ac:dyDescent="0.3">
      <c r="A8" s="37"/>
      <c r="B8" s="11" t="s">
        <v>10</v>
      </c>
      <c r="C8" s="15">
        <v>377371</v>
      </c>
      <c r="D8" s="15">
        <v>298528</v>
      </c>
      <c r="E8" s="15">
        <v>185429</v>
      </c>
      <c r="F8" s="15">
        <v>39031</v>
      </c>
      <c r="G8" s="15">
        <v>73472</v>
      </c>
      <c r="H8" s="15">
        <v>141716</v>
      </c>
      <c r="I8" s="15">
        <v>241821</v>
      </c>
      <c r="J8" s="15">
        <v>289655</v>
      </c>
      <c r="K8" s="15">
        <v>115009</v>
      </c>
      <c r="L8" s="15">
        <v>67227</v>
      </c>
      <c r="M8" s="15">
        <v>177124</v>
      </c>
      <c r="N8" s="15">
        <v>255768</v>
      </c>
      <c r="O8" s="15">
        <v>307395</v>
      </c>
      <c r="P8" s="15">
        <v>264070</v>
      </c>
      <c r="Q8" s="15">
        <v>141958</v>
      </c>
      <c r="R8" s="15">
        <v>90918</v>
      </c>
      <c r="S8" s="15">
        <v>53934</v>
      </c>
      <c r="T8" s="15">
        <v>129602</v>
      </c>
      <c r="U8" s="15">
        <v>190127</v>
      </c>
      <c r="V8" s="15">
        <v>192193</v>
      </c>
      <c r="W8" s="15">
        <v>80008</v>
      </c>
      <c r="X8" s="15">
        <v>28792</v>
      </c>
      <c r="Y8" s="15">
        <v>166260</v>
      </c>
      <c r="Z8" s="15">
        <v>298079</v>
      </c>
      <c r="AA8" s="15">
        <v>269519.40399999998</v>
      </c>
      <c r="AB8" s="15">
        <v>255863.842</v>
      </c>
      <c r="AC8" s="15">
        <v>151944.30900000001</v>
      </c>
      <c r="AD8" s="15">
        <v>36622.07</v>
      </c>
      <c r="AE8" s="15">
        <v>52270.080000000002</v>
      </c>
      <c r="AF8" s="15">
        <v>123224.192</v>
      </c>
      <c r="AG8" s="15">
        <v>247128.12</v>
      </c>
      <c r="AH8" s="15">
        <v>259517.70199999999</v>
      </c>
      <c r="AI8" s="15">
        <v>73317.312000000005</v>
      </c>
      <c r="AJ8" s="15">
        <v>55100.5</v>
      </c>
      <c r="AK8" s="15">
        <v>149240.95999999999</v>
      </c>
      <c r="AL8" s="15">
        <v>314803.272</v>
      </c>
      <c r="AM8" s="15">
        <v>336388.31199999998</v>
      </c>
      <c r="AN8" s="15">
        <v>319921.7</v>
      </c>
      <c r="AO8" s="15">
        <v>128539.963</v>
      </c>
      <c r="AP8" s="15">
        <v>62523.775000000001</v>
      </c>
      <c r="AQ8" s="15">
        <v>79154.16</v>
      </c>
      <c r="AR8" s="15">
        <v>142707.73499999999</v>
      </c>
      <c r="AS8" s="15">
        <v>223832.016</v>
      </c>
      <c r="AT8" s="15">
        <v>271578.36</v>
      </c>
      <c r="AU8" s="15">
        <v>118051.164</v>
      </c>
      <c r="AV8" s="15">
        <v>44184.15</v>
      </c>
      <c r="AW8" s="15">
        <v>174565.77600000001</v>
      </c>
      <c r="AX8" s="15">
        <v>314391.99800000002</v>
      </c>
      <c r="AY8" s="15">
        <v>358610.21399999998</v>
      </c>
      <c r="AZ8" s="15">
        <v>292575.09399999998</v>
      </c>
      <c r="BA8" s="15">
        <v>193933.68</v>
      </c>
      <c r="BB8" s="15">
        <v>95412.816000000006</v>
      </c>
      <c r="BC8" s="15">
        <v>37300.080000000002</v>
      </c>
      <c r="BD8" s="15">
        <v>188708.37700000001</v>
      </c>
      <c r="BE8" s="15">
        <v>180607.48199999999</v>
      </c>
      <c r="BF8" s="15">
        <v>255819.33600000001</v>
      </c>
      <c r="BG8" s="15">
        <v>121603.8</v>
      </c>
      <c r="BH8" s="15">
        <v>28307.648000000001</v>
      </c>
      <c r="BI8" s="15">
        <v>158554.37400000001</v>
      </c>
      <c r="BJ8" s="15">
        <v>354671.79200000002</v>
      </c>
      <c r="BK8" s="15">
        <v>379399.64399999997</v>
      </c>
      <c r="BL8" s="15">
        <v>286516.28999999998</v>
      </c>
      <c r="BM8" s="15">
        <v>154609.916</v>
      </c>
      <c r="BN8" s="15">
        <v>38433.502</v>
      </c>
      <c r="BO8" s="15">
        <v>21467.034</v>
      </c>
      <c r="BP8" s="15">
        <v>148941.93299999999</v>
      </c>
      <c r="BQ8" s="15">
        <v>310638.06900000002</v>
      </c>
      <c r="BR8" s="15">
        <v>276802.5</v>
      </c>
      <c r="BS8" s="15">
        <v>137704.266</v>
      </c>
      <c r="BT8" s="15">
        <v>91056.42</v>
      </c>
      <c r="BU8" s="15">
        <v>228039.32500000001</v>
      </c>
      <c r="BV8" s="15">
        <v>421716.98800000001</v>
      </c>
      <c r="BW8" s="15">
        <v>410749.98499999999</v>
      </c>
      <c r="BX8" s="15">
        <v>350648.08799999999</v>
      </c>
      <c r="BY8" s="15">
        <v>178686.83</v>
      </c>
      <c r="BZ8" s="15">
        <v>30997.901999999998</v>
      </c>
      <c r="CA8" s="15">
        <v>97706.634999999995</v>
      </c>
      <c r="CB8" s="15">
        <v>235491.62</v>
      </c>
      <c r="CC8" s="15">
        <v>350353.85</v>
      </c>
      <c r="CD8" s="15">
        <v>301521.913</v>
      </c>
      <c r="CE8" s="15">
        <v>128475.928</v>
      </c>
      <c r="CF8" s="15">
        <v>52274.559999999998</v>
      </c>
      <c r="CG8" s="15">
        <v>132199.04000000001</v>
      </c>
      <c r="CH8" s="15">
        <v>420797.598</v>
      </c>
      <c r="CI8" s="15">
        <v>435695.96</v>
      </c>
      <c r="CJ8" s="15">
        <v>308014.66499999998</v>
      </c>
      <c r="CK8" s="15">
        <v>132332.54399999999</v>
      </c>
      <c r="CL8" s="15">
        <v>36877.728999999999</v>
      </c>
      <c r="CM8" s="15">
        <v>39470.733</v>
      </c>
      <c r="CN8" s="15">
        <v>234987.08100000001</v>
      </c>
      <c r="CO8" s="15">
        <v>319678.42499999999</v>
      </c>
      <c r="CP8" s="15">
        <v>372251.25</v>
      </c>
      <c r="CQ8" s="15">
        <v>222698.421</v>
      </c>
      <c r="CR8" s="15">
        <v>27569.316999999999</v>
      </c>
      <c r="CS8" s="15">
        <v>209412.61</v>
      </c>
      <c r="CT8" s="15">
        <v>324450.12599999999</v>
      </c>
      <c r="CU8" s="15">
        <v>377128.304</v>
      </c>
      <c r="CV8" s="15">
        <v>282071.728</v>
      </c>
      <c r="CW8" s="15">
        <v>205620.66</v>
      </c>
      <c r="CX8" s="15">
        <v>31756.562999999998</v>
      </c>
      <c r="CY8" s="15">
        <v>90083.881999999998</v>
      </c>
      <c r="CZ8" s="15">
        <v>261046.52600000001</v>
      </c>
      <c r="DA8" s="15">
        <v>382972.87599999999</v>
      </c>
      <c r="DB8" s="15">
        <v>439004.98200000002</v>
      </c>
      <c r="DC8" s="15">
        <v>272096.37800000003</v>
      </c>
      <c r="DD8" s="15">
        <v>32616.28</v>
      </c>
      <c r="DE8" s="15">
        <v>174515.285</v>
      </c>
      <c r="DF8" s="15">
        <v>358916.32500000001</v>
      </c>
      <c r="DG8" s="15">
        <v>393471.04300000001</v>
      </c>
      <c r="DH8" s="15">
        <v>403573.83600000001</v>
      </c>
      <c r="DI8" s="15">
        <v>199142.992</v>
      </c>
      <c r="DJ8" s="15">
        <v>71810.111999999994</v>
      </c>
      <c r="DK8" s="15">
        <v>53037.94</v>
      </c>
      <c r="DL8" s="15">
        <v>220899.31200000001</v>
      </c>
      <c r="DM8" s="15">
        <v>542643.44499999995</v>
      </c>
      <c r="DN8" s="15">
        <v>518992.28</v>
      </c>
      <c r="DO8" s="15">
        <v>340554.08399999997</v>
      </c>
      <c r="DP8" s="15">
        <v>123254.625</v>
      </c>
      <c r="DQ8" s="15">
        <v>246619.8</v>
      </c>
      <c r="DR8" s="15">
        <v>490156.48800000001</v>
      </c>
      <c r="DS8" s="15">
        <v>544912.61</v>
      </c>
      <c r="DT8" s="15">
        <v>367134.31</v>
      </c>
      <c r="DU8" s="15">
        <v>238949.74</v>
      </c>
      <c r="DV8" s="16">
        <v>70190.509999999995</v>
      </c>
    </row>
    <row r="9" spans="1:126" ht="24.95" customHeight="1" x14ac:dyDescent="0.3">
      <c r="A9" s="37"/>
      <c r="B9" s="11" t="s">
        <v>11</v>
      </c>
      <c r="C9" s="15">
        <v>68906</v>
      </c>
      <c r="D9" s="15">
        <v>55611</v>
      </c>
      <c r="E9" s="15">
        <v>24695</v>
      </c>
      <c r="F9" s="15">
        <v>11880</v>
      </c>
      <c r="G9" s="15">
        <v>1988</v>
      </c>
      <c r="H9" s="15">
        <v>6810</v>
      </c>
      <c r="I9" s="15">
        <v>10093</v>
      </c>
      <c r="J9" s="15">
        <v>13390</v>
      </c>
      <c r="K9" s="15">
        <v>8188</v>
      </c>
      <c r="L9" s="15">
        <v>4896</v>
      </c>
      <c r="M9" s="15">
        <v>24688</v>
      </c>
      <c r="N9" s="15">
        <v>49743</v>
      </c>
      <c r="O9" s="15">
        <v>56210</v>
      </c>
      <c r="P9" s="15">
        <v>45116</v>
      </c>
      <c r="Q9" s="15">
        <v>31316</v>
      </c>
      <c r="R9" s="15">
        <v>2542</v>
      </c>
      <c r="S9" s="15">
        <v>3886</v>
      </c>
      <c r="T9" s="15">
        <v>2722</v>
      </c>
      <c r="U9" s="15">
        <v>16344</v>
      </c>
      <c r="V9" s="15">
        <v>2254</v>
      </c>
      <c r="W9" s="15">
        <v>14998</v>
      </c>
      <c r="X9" s="15">
        <v>8888</v>
      </c>
      <c r="Y9" s="15">
        <v>30302</v>
      </c>
      <c r="Z9" s="15">
        <v>71195</v>
      </c>
      <c r="AA9" s="15">
        <v>65200.024100000002</v>
      </c>
      <c r="AB9" s="15">
        <v>62552.419600000001</v>
      </c>
      <c r="AC9" s="15">
        <v>36822.093999999997</v>
      </c>
      <c r="AD9" s="15">
        <v>8933.9415000000008</v>
      </c>
      <c r="AE9" s="15">
        <v>1644.5078000000001</v>
      </c>
      <c r="AF9" s="15">
        <v>22033.012999999999</v>
      </c>
      <c r="AG9" s="15">
        <v>7634.1607999999997</v>
      </c>
      <c r="AH9" s="15">
        <v>12272.429099999999</v>
      </c>
      <c r="AI9" s="15">
        <v>1916.1321</v>
      </c>
      <c r="AJ9" s="15">
        <v>25914.834800000001</v>
      </c>
      <c r="AK9" s="15">
        <v>42301.522199999999</v>
      </c>
      <c r="AL9" s="15">
        <v>58708.954299999998</v>
      </c>
      <c r="AM9" s="15">
        <v>54139.910199999998</v>
      </c>
      <c r="AN9" s="15">
        <v>41861.661</v>
      </c>
      <c r="AO9" s="15">
        <v>33453.196100000001</v>
      </c>
      <c r="AP9" s="15">
        <v>8992.5210000000006</v>
      </c>
      <c r="AQ9" s="15">
        <v>3213.4036000000001</v>
      </c>
      <c r="AR9" s="15">
        <v>4804.6481999999996</v>
      </c>
      <c r="AS9" s="15">
        <v>1306.5385000000001</v>
      </c>
      <c r="AT9" s="15">
        <v>6794.5976000000001</v>
      </c>
      <c r="AU9" s="15">
        <v>4923.9633000000003</v>
      </c>
      <c r="AV9" s="15">
        <v>5856.7146000000002</v>
      </c>
      <c r="AW9" s="15">
        <v>16933.9051</v>
      </c>
      <c r="AX9" s="15">
        <v>43589.008399999999</v>
      </c>
      <c r="AY9" s="15">
        <v>42751.352599999998</v>
      </c>
      <c r="AZ9" s="15">
        <v>24303.954300000001</v>
      </c>
      <c r="BA9" s="15">
        <v>19092.463800000001</v>
      </c>
      <c r="BB9" s="15">
        <v>40220.269899999999</v>
      </c>
      <c r="BC9" s="15">
        <v>5203.7082</v>
      </c>
      <c r="BD9" s="15">
        <v>6908.1481999999996</v>
      </c>
      <c r="BE9" s="15">
        <v>549.2636</v>
      </c>
      <c r="BF9" s="15">
        <v>912.11469999999997</v>
      </c>
      <c r="BG9" s="15">
        <v>624.61400000000003</v>
      </c>
      <c r="BH9" s="15">
        <v>6691.0924000000005</v>
      </c>
      <c r="BI9" s="15">
        <v>15758.9557</v>
      </c>
      <c r="BJ9" s="15">
        <v>49480.0337</v>
      </c>
      <c r="BK9" s="15">
        <v>112311.2292</v>
      </c>
      <c r="BL9" s="15">
        <v>36060.608200000002</v>
      </c>
      <c r="BM9" s="15">
        <v>43437.760300000002</v>
      </c>
      <c r="BN9" s="15">
        <v>15267.6644</v>
      </c>
      <c r="BO9" s="15">
        <v>1272.2311999999999</v>
      </c>
      <c r="BP9" s="15">
        <v>2132.6066999999998</v>
      </c>
      <c r="BQ9" s="15">
        <v>4479.0409</v>
      </c>
      <c r="BR9" s="15">
        <v>4116.6215000000002</v>
      </c>
      <c r="BS9" s="15">
        <v>20712.539000000001</v>
      </c>
      <c r="BT9" s="15">
        <v>10358.411700000001</v>
      </c>
      <c r="BU9" s="15">
        <v>24892.129799999999</v>
      </c>
      <c r="BV9" s="15">
        <v>38874.406600000002</v>
      </c>
      <c r="BW9" s="15">
        <v>42883.675499999998</v>
      </c>
      <c r="BX9" s="15">
        <v>35617.282399999996</v>
      </c>
      <c r="BY9" s="15">
        <v>22975.737099999998</v>
      </c>
      <c r="BZ9" s="15">
        <v>10443.248900000001</v>
      </c>
      <c r="CA9" s="15">
        <v>39131.4859</v>
      </c>
      <c r="CB9" s="15">
        <v>29484.782599999999</v>
      </c>
      <c r="CC9" s="15">
        <v>14500.093000000001</v>
      </c>
      <c r="CD9" s="15">
        <v>18558.286700000001</v>
      </c>
      <c r="CE9" s="15">
        <v>15637.6965</v>
      </c>
      <c r="CF9" s="15">
        <v>34586.905599999998</v>
      </c>
      <c r="CG9" s="15">
        <v>27299.980800000001</v>
      </c>
      <c r="CH9" s="15">
        <v>52682.862200000003</v>
      </c>
      <c r="CI9" s="15">
        <v>42797.155599999998</v>
      </c>
      <c r="CJ9" s="15">
        <v>31388.715100000001</v>
      </c>
      <c r="CK9" s="15">
        <v>12167.529399999999</v>
      </c>
      <c r="CL9" s="15">
        <v>17715.477200000001</v>
      </c>
      <c r="CM9" s="15">
        <v>3844.4578999999999</v>
      </c>
      <c r="CN9" s="15">
        <v>44012.318700000003</v>
      </c>
      <c r="CO9" s="15">
        <v>51477.145499999999</v>
      </c>
      <c r="CP9" s="15">
        <v>61421.456299999998</v>
      </c>
      <c r="CQ9" s="15">
        <v>39491.089399999997</v>
      </c>
      <c r="CR9" s="15">
        <v>9606.0146999999997</v>
      </c>
      <c r="CS9" s="15">
        <v>44506.445299999999</v>
      </c>
      <c r="CT9" s="15">
        <v>69794.444499999998</v>
      </c>
      <c r="CU9" s="15">
        <v>68708.275999999998</v>
      </c>
      <c r="CV9" s="15">
        <v>57980.649100000002</v>
      </c>
      <c r="CW9" s="15">
        <v>42049.596799999999</v>
      </c>
      <c r="CX9" s="15">
        <v>17176.325700000001</v>
      </c>
      <c r="CY9" s="15">
        <v>20646.2271</v>
      </c>
      <c r="CZ9" s="15">
        <v>48701.253900000003</v>
      </c>
      <c r="DA9" s="15">
        <v>61353.123</v>
      </c>
      <c r="DB9" s="15">
        <v>74251.895699999994</v>
      </c>
      <c r="DC9" s="15">
        <v>39464.239399999999</v>
      </c>
      <c r="DD9" s="15">
        <v>13136.7816</v>
      </c>
      <c r="DE9" s="15">
        <v>56163.589899999999</v>
      </c>
      <c r="DF9" s="15">
        <v>70377.748500000002</v>
      </c>
      <c r="DG9" s="15">
        <v>73240.921000000002</v>
      </c>
      <c r="DH9" s="15">
        <v>70481.257100000003</v>
      </c>
      <c r="DI9" s="15">
        <v>36901.338100000001</v>
      </c>
      <c r="DJ9" s="15">
        <v>16482.252199999999</v>
      </c>
      <c r="DK9" s="15">
        <v>12189.3465</v>
      </c>
      <c r="DL9" s="15">
        <v>35665.127999999997</v>
      </c>
      <c r="DM9" s="15"/>
      <c r="DN9" s="15"/>
      <c r="DO9" s="15"/>
      <c r="DP9" s="15"/>
      <c r="DQ9" s="15"/>
      <c r="DR9" s="15"/>
      <c r="DS9" s="15"/>
      <c r="DT9" s="15"/>
      <c r="DU9" s="15"/>
      <c r="DV9" s="16"/>
    </row>
    <row r="10" spans="1:126" ht="24.95" customHeight="1" x14ac:dyDescent="0.3">
      <c r="A10" s="37"/>
      <c r="B10" s="11" t="s">
        <v>12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6"/>
    </row>
    <row r="11" spans="1:126" ht="24.95" customHeight="1" x14ac:dyDescent="0.3">
      <c r="A11" s="37"/>
      <c r="B11" s="11" t="s">
        <v>13</v>
      </c>
      <c r="C11" s="15">
        <v>128398</v>
      </c>
      <c r="D11" s="15">
        <v>115502</v>
      </c>
      <c r="E11" s="15">
        <v>129130</v>
      </c>
      <c r="F11" s="15">
        <v>113801</v>
      </c>
      <c r="G11" s="15">
        <v>91455</v>
      </c>
      <c r="H11" s="15">
        <v>68608</v>
      </c>
      <c r="I11" s="15">
        <v>60283</v>
      </c>
      <c r="J11" s="15">
        <v>66995</v>
      </c>
      <c r="K11" s="15">
        <v>47321</v>
      </c>
      <c r="L11" s="15">
        <v>46772</v>
      </c>
      <c r="M11" s="15">
        <v>48141</v>
      </c>
      <c r="N11" s="15">
        <v>51125</v>
      </c>
      <c r="O11" s="15">
        <v>42866</v>
      </c>
      <c r="P11" s="15">
        <v>38983</v>
      </c>
      <c r="Q11" s="15">
        <v>38865</v>
      </c>
      <c r="R11" s="15">
        <v>30696</v>
      </c>
      <c r="S11" s="15">
        <v>32873</v>
      </c>
      <c r="T11" s="15">
        <v>39772</v>
      </c>
      <c r="U11" s="15">
        <v>41852</v>
      </c>
      <c r="V11" s="15">
        <v>35309</v>
      </c>
      <c r="W11" s="15">
        <v>25163</v>
      </c>
      <c r="X11" s="15">
        <v>17290</v>
      </c>
      <c r="Y11" s="15"/>
      <c r="Z11" s="15">
        <v>23410</v>
      </c>
      <c r="AA11" s="15">
        <v>25560.5929</v>
      </c>
      <c r="AB11" s="15">
        <v>21276.699799999999</v>
      </c>
      <c r="AC11" s="15">
        <v>20105.351600000002</v>
      </c>
      <c r="AD11" s="15">
        <v>22274.473999999998</v>
      </c>
      <c r="AE11" s="15">
        <v>20174.357499999998</v>
      </c>
      <c r="AF11" s="15">
        <v>18226.7811</v>
      </c>
      <c r="AG11" s="15">
        <v>20072.2179</v>
      </c>
      <c r="AH11" s="15">
        <v>16151.759099999999</v>
      </c>
      <c r="AI11" s="15">
        <v>8982.8138999999992</v>
      </c>
      <c r="AJ11" s="15">
        <v>6281.2844999999998</v>
      </c>
      <c r="AK11" s="15">
        <v>6156.7116999999998</v>
      </c>
      <c r="AL11" s="15">
        <v>5969.9384</v>
      </c>
      <c r="AM11" s="15">
        <v>8692.2248999999993</v>
      </c>
      <c r="AN11" s="15">
        <v>6146.7840999999999</v>
      </c>
      <c r="AO11" s="15">
        <v>8712.8088000000007</v>
      </c>
      <c r="AP11" s="15">
        <v>6759.6301999999996</v>
      </c>
      <c r="AQ11" s="15">
        <v>8672.1072999999997</v>
      </c>
      <c r="AR11" s="15">
        <v>1366.6712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6"/>
    </row>
    <row r="12" spans="1:126" ht="24.95" customHeight="1" x14ac:dyDescent="0.3">
      <c r="A12" s="37"/>
      <c r="B12" s="11" t="s">
        <v>14</v>
      </c>
      <c r="C12" s="15">
        <v>8634938</v>
      </c>
      <c r="D12" s="15">
        <v>5844822</v>
      </c>
      <c r="E12" s="15">
        <v>1298433</v>
      </c>
      <c r="F12" s="15">
        <v>109749</v>
      </c>
      <c r="G12" s="15">
        <v>14433411</v>
      </c>
      <c r="H12" s="15">
        <v>12284799</v>
      </c>
      <c r="I12" s="15">
        <v>11199394</v>
      </c>
      <c r="J12" s="15">
        <v>8176163</v>
      </c>
      <c r="K12" s="15">
        <v>24293</v>
      </c>
      <c r="L12" s="15">
        <v>1192278</v>
      </c>
      <c r="M12" s="15">
        <v>15794303</v>
      </c>
      <c r="N12" s="15">
        <v>7652493</v>
      </c>
      <c r="O12" s="15">
        <v>6986858</v>
      </c>
      <c r="P12" s="15">
        <v>6126518</v>
      </c>
      <c r="Q12" s="15">
        <v>349957</v>
      </c>
      <c r="R12" s="15">
        <v>16033042</v>
      </c>
      <c r="S12" s="15"/>
      <c r="T12" s="15">
        <v>184736</v>
      </c>
      <c r="U12" s="15">
        <v>6925959</v>
      </c>
      <c r="V12" s="15">
        <v>6025054</v>
      </c>
      <c r="W12" s="15">
        <v>4734346</v>
      </c>
      <c r="X12" s="15">
        <v>198942</v>
      </c>
      <c r="Y12" s="15">
        <v>586342</v>
      </c>
      <c r="Z12" s="15">
        <v>5754841</v>
      </c>
      <c r="AA12" s="15">
        <v>3143098.2379999999</v>
      </c>
      <c r="AB12" s="15">
        <v>8232459.8590000002</v>
      </c>
      <c r="AC12" s="15">
        <v>5133336.7139999997</v>
      </c>
      <c r="AD12" s="15">
        <v>20663174.539999999</v>
      </c>
      <c r="AE12" s="15">
        <v>7436035.0719999997</v>
      </c>
      <c r="AF12" s="15">
        <v>420790.304</v>
      </c>
      <c r="AG12" s="15">
        <v>9275092.2400000002</v>
      </c>
      <c r="AH12" s="15">
        <v>9509700.2029999997</v>
      </c>
      <c r="AI12" s="15">
        <v>8056927.6679999996</v>
      </c>
      <c r="AJ12" s="15">
        <v>3306284.31</v>
      </c>
      <c r="AK12" s="15">
        <v>2510724.764</v>
      </c>
      <c r="AL12" s="15">
        <v>19265160.908</v>
      </c>
      <c r="AM12" s="15">
        <v>11500801.155999999</v>
      </c>
      <c r="AN12" s="15">
        <v>8536073.3249999993</v>
      </c>
      <c r="AO12" s="15">
        <v>3623941.355</v>
      </c>
      <c r="AP12" s="15">
        <v>31796963.846999999</v>
      </c>
      <c r="AQ12" s="15">
        <v>319978.56400000001</v>
      </c>
      <c r="AR12" s="15">
        <v>8093171.0999999996</v>
      </c>
      <c r="AS12" s="15">
        <v>14065176.322000001</v>
      </c>
      <c r="AT12" s="15">
        <v>12811495.628</v>
      </c>
      <c r="AU12" s="15">
        <v>635142.51800000004</v>
      </c>
      <c r="AV12" s="15">
        <v>703061.61</v>
      </c>
      <c r="AW12" s="15">
        <v>8869803.2280000001</v>
      </c>
      <c r="AX12" s="15">
        <v>19875817.820999999</v>
      </c>
      <c r="AY12" s="15">
        <v>15818979.301999999</v>
      </c>
      <c r="AZ12" s="15">
        <v>18963061.572000001</v>
      </c>
      <c r="BA12" s="15">
        <v>1741486.128</v>
      </c>
      <c r="BB12" s="15">
        <v>15741198.720000001</v>
      </c>
      <c r="BC12" s="15">
        <v>0</v>
      </c>
      <c r="BD12" s="15">
        <v>21202639.813000001</v>
      </c>
      <c r="BE12" s="15">
        <v>21935387.502</v>
      </c>
      <c r="BF12" s="15">
        <v>19761659.208000001</v>
      </c>
      <c r="BG12" s="15">
        <v>7929933.1359999999</v>
      </c>
      <c r="BH12" s="15">
        <v>22810166.335999999</v>
      </c>
      <c r="BI12" s="15">
        <v>24325203.727000002</v>
      </c>
      <c r="BJ12" s="15">
        <v>17762308.824999999</v>
      </c>
      <c r="BK12" s="15">
        <v>14444054.196</v>
      </c>
      <c r="BL12" s="15">
        <v>12458264.709000001</v>
      </c>
      <c r="BM12" s="15">
        <v>10957706.196</v>
      </c>
      <c r="BN12" s="15">
        <v>16438625.111</v>
      </c>
      <c r="BO12" s="15">
        <v>0</v>
      </c>
      <c r="BP12" s="15">
        <v>8132893.5870000003</v>
      </c>
      <c r="BQ12" s="15">
        <v>16891895.688000001</v>
      </c>
      <c r="BR12" s="15">
        <v>14631602.5</v>
      </c>
      <c r="BS12" s="15">
        <v>0</v>
      </c>
      <c r="BT12" s="15">
        <v>5642904.9299999997</v>
      </c>
      <c r="BU12" s="15">
        <v>22441662.385000002</v>
      </c>
      <c r="BV12" s="15">
        <v>2916698.0920000002</v>
      </c>
      <c r="BW12" s="15">
        <v>4190897.804</v>
      </c>
      <c r="BX12" s="15">
        <v>3074040.8020000001</v>
      </c>
      <c r="BY12" s="15">
        <v>0</v>
      </c>
      <c r="BZ12" s="15">
        <v>0</v>
      </c>
      <c r="CA12" s="15">
        <v>0</v>
      </c>
      <c r="CB12" s="15">
        <v>4820863.32</v>
      </c>
      <c r="CC12" s="15">
        <v>12469626.65</v>
      </c>
      <c r="CD12" s="15">
        <v>4196076.6119999997</v>
      </c>
      <c r="CE12" s="15">
        <v>61320.959999999999</v>
      </c>
      <c r="CF12" s="15">
        <v>147439.96799999999</v>
      </c>
      <c r="CG12" s="15">
        <v>0</v>
      </c>
      <c r="CH12" s="15">
        <v>471769.50599999999</v>
      </c>
      <c r="CI12" s="15">
        <v>768399.86</v>
      </c>
      <c r="CJ12" s="15">
        <v>0</v>
      </c>
      <c r="CK12" s="15">
        <v>37692.375</v>
      </c>
      <c r="CL12" s="15">
        <v>0</v>
      </c>
      <c r="CM12" s="15">
        <v>0</v>
      </c>
      <c r="CN12" s="15">
        <v>973900.83</v>
      </c>
      <c r="CO12" s="15">
        <v>1887045.825</v>
      </c>
      <c r="CP12" s="15">
        <v>4570692.2910000002</v>
      </c>
      <c r="CQ12" s="15">
        <v>0</v>
      </c>
      <c r="CR12" s="15">
        <v>0</v>
      </c>
      <c r="CS12" s="15">
        <v>0</v>
      </c>
      <c r="CT12" s="15">
        <v>519511.772</v>
      </c>
      <c r="CU12" s="15">
        <v>198921.541</v>
      </c>
      <c r="CV12" s="15">
        <v>171.36799999999999</v>
      </c>
      <c r="CW12" s="15">
        <v>13742.4</v>
      </c>
      <c r="CX12" s="15">
        <v>0</v>
      </c>
      <c r="CY12" s="15">
        <v>122682.827</v>
      </c>
      <c r="CZ12" s="15">
        <v>69312.645999999993</v>
      </c>
      <c r="DA12" s="15">
        <v>3744008.892</v>
      </c>
      <c r="DB12" s="15">
        <v>9000410.2200000007</v>
      </c>
      <c r="DC12" s="15">
        <v>2774382.2609999999</v>
      </c>
      <c r="DD12" s="15">
        <v>0</v>
      </c>
      <c r="DE12" s="15">
        <v>0</v>
      </c>
      <c r="DF12" s="15">
        <v>124192.5</v>
      </c>
      <c r="DG12" s="15">
        <v>113839.52899999999</v>
      </c>
      <c r="DH12" s="15">
        <v>152874.07800000001</v>
      </c>
      <c r="DI12" s="15">
        <v>0</v>
      </c>
      <c r="DJ12" s="15">
        <v>0</v>
      </c>
      <c r="DK12" s="15">
        <v>0</v>
      </c>
      <c r="DL12" s="15">
        <v>147240.576</v>
      </c>
      <c r="DM12" s="15">
        <v>783454.16299999994</v>
      </c>
      <c r="DN12" s="15">
        <v>917636.06400000001</v>
      </c>
      <c r="DO12" s="15">
        <v>0</v>
      </c>
      <c r="DP12" s="15">
        <v>0</v>
      </c>
      <c r="DQ12" s="15">
        <v>0</v>
      </c>
      <c r="DR12" s="15">
        <v>161910.35999999999</v>
      </c>
      <c r="DS12" s="15">
        <v>0</v>
      </c>
      <c r="DT12" s="15">
        <v>0</v>
      </c>
      <c r="DU12" s="15">
        <v>0</v>
      </c>
      <c r="DV12" s="16">
        <v>103728.34</v>
      </c>
    </row>
    <row r="13" spans="1:126" ht="24.95" customHeight="1" x14ac:dyDescent="0.3">
      <c r="A13" s="37"/>
      <c r="B13" s="11" t="s">
        <v>15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6"/>
    </row>
    <row r="14" spans="1:126" ht="24.95" customHeight="1" x14ac:dyDescent="0.3">
      <c r="A14" s="37"/>
      <c r="B14" s="11" t="s">
        <v>16</v>
      </c>
      <c r="C14" s="15">
        <v>41313374</v>
      </c>
      <c r="D14" s="15">
        <v>32793392</v>
      </c>
      <c r="E14" s="15">
        <v>26443360</v>
      </c>
      <c r="F14" s="15">
        <v>13848964</v>
      </c>
      <c r="G14" s="15">
        <v>2902457</v>
      </c>
      <c r="H14" s="15">
        <v>216329</v>
      </c>
      <c r="I14" s="15">
        <v>283074</v>
      </c>
      <c r="J14" s="15"/>
      <c r="K14" s="15">
        <v>140456</v>
      </c>
      <c r="L14" s="15">
        <v>419038</v>
      </c>
      <c r="M14" s="15">
        <v>8816124</v>
      </c>
      <c r="N14" s="15">
        <v>2751825</v>
      </c>
      <c r="O14" s="15">
        <v>389247</v>
      </c>
      <c r="P14" s="15">
        <v>88690</v>
      </c>
      <c r="Q14" s="15"/>
      <c r="R14" s="15">
        <v>10319</v>
      </c>
      <c r="S14" s="15"/>
      <c r="T14" s="15"/>
      <c r="U14" s="15"/>
      <c r="V14" s="15"/>
      <c r="W14" s="15">
        <v>73821</v>
      </c>
      <c r="X14" s="15">
        <v>10690</v>
      </c>
      <c r="Y14" s="15"/>
      <c r="Z14" s="15">
        <v>13147520</v>
      </c>
      <c r="AA14" s="15">
        <v>27516462.75</v>
      </c>
      <c r="AB14" s="15">
        <v>6716661.7309999997</v>
      </c>
      <c r="AC14" s="15">
        <v>518172.33600000001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536419.49600000004</v>
      </c>
      <c r="AL14" s="15">
        <v>3557991.2760000001</v>
      </c>
      <c r="AM14" s="15">
        <v>0</v>
      </c>
      <c r="AN14" s="15">
        <v>0</v>
      </c>
      <c r="AO14" s="15">
        <v>383193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139510.92000000001</v>
      </c>
      <c r="AW14" s="15">
        <v>2690.2260000000001</v>
      </c>
      <c r="AX14" s="15">
        <v>3462357.9330000002</v>
      </c>
      <c r="AY14" s="15">
        <v>795262.60800000001</v>
      </c>
      <c r="AZ14" s="15">
        <v>6837525.142</v>
      </c>
      <c r="BA14" s="15">
        <v>590145.93599999999</v>
      </c>
      <c r="BB14" s="15">
        <v>7964138.8320000004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58533.735999999997</v>
      </c>
      <c r="BI14" s="15">
        <v>2447688.4849999999</v>
      </c>
      <c r="BJ14" s="15">
        <v>20443663.311999999</v>
      </c>
      <c r="BK14" s="15">
        <v>23467331.16</v>
      </c>
      <c r="BL14" s="15">
        <v>5460455.5530000003</v>
      </c>
      <c r="BM14" s="15">
        <v>0</v>
      </c>
      <c r="BN14" s="15">
        <v>1806117.8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517261.68</v>
      </c>
      <c r="BU14" s="15">
        <v>2305471.2000000002</v>
      </c>
      <c r="BV14" s="15">
        <v>33167533.476</v>
      </c>
      <c r="BW14" s="15">
        <v>42124573.369999997</v>
      </c>
      <c r="BX14" s="15">
        <v>32848396.938000001</v>
      </c>
      <c r="BY14" s="15">
        <v>23151635.280000001</v>
      </c>
      <c r="BZ14" s="15">
        <v>9608063.4000000004</v>
      </c>
      <c r="CA14" s="15">
        <v>0</v>
      </c>
      <c r="CB14" s="15">
        <v>1519660.87</v>
      </c>
      <c r="CC14" s="15">
        <v>364390.32500000001</v>
      </c>
      <c r="CD14" s="15">
        <v>3181438.9109999998</v>
      </c>
      <c r="CE14" s="15">
        <v>5167483.2319999998</v>
      </c>
      <c r="CF14" s="15">
        <v>5679888.0319999997</v>
      </c>
      <c r="CG14" s="15">
        <v>7501684.4800000004</v>
      </c>
      <c r="CH14" s="15">
        <v>51926707.248000003</v>
      </c>
      <c r="CI14" s="15">
        <v>49118787.560000002</v>
      </c>
      <c r="CJ14" s="15">
        <v>32699705.43</v>
      </c>
      <c r="CK14" s="15">
        <v>9818928.3029999994</v>
      </c>
      <c r="CL14" s="15">
        <v>12148142.139</v>
      </c>
      <c r="CM14" s="15">
        <v>483697.44</v>
      </c>
      <c r="CN14" s="15">
        <v>666158.37899999996</v>
      </c>
      <c r="CO14" s="15">
        <v>0</v>
      </c>
      <c r="CP14" s="15">
        <v>0</v>
      </c>
      <c r="CQ14" s="15">
        <v>138236.851</v>
      </c>
      <c r="CR14" s="15">
        <v>7179356.9460000005</v>
      </c>
      <c r="CS14" s="15">
        <v>0</v>
      </c>
      <c r="CT14" s="15">
        <v>26536555.760000002</v>
      </c>
      <c r="CU14" s="15">
        <v>20495908.895</v>
      </c>
      <c r="CV14" s="15">
        <v>17101155.456</v>
      </c>
      <c r="CW14" s="15">
        <v>12017342.295</v>
      </c>
      <c r="CX14" s="15">
        <v>1118959.3799999999</v>
      </c>
      <c r="CY14" s="15">
        <v>971363.33499999996</v>
      </c>
      <c r="CZ14" s="15">
        <v>2340510.7439999999</v>
      </c>
      <c r="DA14" s="15">
        <v>5774641.9119999995</v>
      </c>
      <c r="DB14" s="15">
        <v>264968.13</v>
      </c>
      <c r="DC14" s="15">
        <v>0</v>
      </c>
      <c r="DD14" s="15">
        <v>708062.82</v>
      </c>
      <c r="DE14" s="15">
        <v>3344968.858</v>
      </c>
      <c r="DF14" s="15">
        <v>10931381.025</v>
      </c>
      <c r="DG14" s="15">
        <v>16913104.848000001</v>
      </c>
      <c r="DH14" s="15">
        <v>6679949.3279999997</v>
      </c>
      <c r="DI14" s="15">
        <v>22821984.352000002</v>
      </c>
      <c r="DJ14" s="15">
        <v>1505797.568</v>
      </c>
      <c r="DK14" s="15">
        <v>0</v>
      </c>
      <c r="DL14" s="15">
        <v>278323.70400000003</v>
      </c>
      <c r="DM14" s="15">
        <v>0</v>
      </c>
      <c r="DN14" s="15">
        <v>0</v>
      </c>
      <c r="DO14" s="15">
        <v>0</v>
      </c>
      <c r="DP14" s="15">
        <v>7608833.7000000002</v>
      </c>
      <c r="DQ14" s="15">
        <v>0</v>
      </c>
      <c r="DR14" s="15">
        <v>51019.847999999998</v>
      </c>
      <c r="DS14" s="15">
        <v>10869192.460000001</v>
      </c>
      <c r="DT14" s="15">
        <v>268124.59999999998</v>
      </c>
      <c r="DU14" s="15">
        <v>1760230.32</v>
      </c>
      <c r="DV14" s="16">
        <v>9193846.7599999998</v>
      </c>
    </row>
    <row r="15" spans="1:126" ht="24.95" customHeight="1" x14ac:dyDescent="0.3">
      <c r="A15" s="38"/>
      <c r="B15" s="12" t="s">
        <v>17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8"/>
    </row>
    <row r="16" spans="1:126" ht="35.1" customHeight="1" thickBot="1" x14ac:dyDescent="0.35">
      <c r="A16" s="42" t="s">
        <v>2</v>
      </c>
      <c r="B16" s="43"/>
      <c r="C16" s="23">
        <f t="shared" ref="C16:AH16" si="4">SUM(C7:C15)</f>
        <v>50537024</v>
      </c>
      <c r="D16" s="23">
        <f t="shared" si="4"/>
        <v>39118515</v>
      </c>
      <c r="E16" s="23">
        <f t="shared" si="4"/>
        <v>28094975</v>
      </c>
      <c r="F16" s="23">
        <f t="shared" si="4"/>
        <v>14129995</v>
      </c>
      <c r="G16" s="23">
        <f t="shared" si="4"/>
        <v>17509556</v>
      </c>
      <c r="H16" s="23">
        <f t="shared" si="4"/>
        <v>12724021</v>
      </c>
      <c r="I16" s="23">
        <f t="shared" si="4"/>
        <v>11800320</v>
      </c>
      <c r="J16" s="23">
        <f t="shared" si="4"/>
        <v>8551904</v>
      </c>
      <c r="K16" s="23">
        <f t="shared" si="4"/>
        <v>340057</v>
      </c>
      <c r="L16" s="23">
        <f t="shared" si="4"/>
        <v>1736660</v>
      </c>
      <c r="M16" s="23">
        <f t="shared" si="4"/>
        <v>24869012</v>
      </c>
      <c r="N16" s="23">
        <f t="shared" si="4"/>
        <v>10772465</v>
      </c>
      <c r="O16" s="23">
        <f t="shared" si="4"/>
        <v>7793567</v>
      </c>
      <c r="P16" s="23">
        <f t="shared" si="4"/>
        <v>6575543</v>
      </c>
      <c r="Q16" s="23">
        <f t="shared" si="4"/>
        <v>573677</v>
      </c>
      <c r="R16" s="23">
        <f t="shared" si="4"/>
        <v>16174651</v>
      </c>
      <c r="S16" s="23">
        <f t="shared" si="4"/>
        <v>95813</v>
      </c>
      <c r="T16" s="23">
        <f t="shared" si="4"/>
        <v>362735</v>
      </c>
      <c r="U16" s="23">
        <f t="shared" si="4"/>
        <v>7180484</v>
      </c>
      <c r="V16" s="23">
        <f t="shared" si="4"/>
        <v>6260211</v>
      </c>
      <c r="W16" s="23">
        <f t="shared" si="4"/>
        <v>4934481</v>
      </c>
      <c r="X16" s="23">
        <f t="shared" si="4"/>
        <v>269372</v>
      </c>
      <c r="Y16" s="23">
        <f t="shared" si="4"/>
        <v>791639</v>
      </c>
      <c r="Z16" s="23">
        <f t="shared" si="4"/>
        <v>19305951</v>
      </c>
      <c r="AA16" s="23">
        <f t="shared" si="4"/>
        <v>31034994.539000001</v>
      </c>
      <c r="AB16" s="23">
        <f t="shared" si="4"/>
        <v>15303481.905400001</v>
      </c>
      <c r="AC16" s="23">
        <f t="shared" si="4"/>
        <v>5875400.2925999993</v>
      </c>
      <c r="AD16" s="23">
        <f t="shared" si="4"/>
        <v>20743580.585499998</v>
      </c>
      <c r="AE16" s="23">
        <f t="shared" si="4"/>
        <v>7520535.5373</v>
      </c>
      <c r="AF16" s="23">
        <f t="shared" si="4"/>
        <v>592525.91009999998</v>
      </c>
      <c r="AG16" s="23">
        <f t="shared" si="4"/>
        <v>9559051.3387000002</v>
      </c>
      <c r="AH16" s="23">
        <f t="shared" si="4"/>
        <v>9807815.9331999999</v>
      </c>
      <c r="AI16" s="23">
        <f t="shared" ref="AI16:BN16" si="5">SUM(AI7:AI15)</f>
        <v>8148653.8589999992</v>
      </c>
      <c r="AJ16" s="23">
        <f t="shared" si="5"/>
        <v>3402608.9342999998</v>
      </c>
      <c r="AK16" s="23">
        <f t="shared" si="5"/>
        <v>3256333.3119000001</v>
      </c>
      <c r="AL16" s="23">
        <f t="shared" si="5"/>
        <v>23216027.5187</v>
      </c>
      <c r="AM16" s="23">
        <f t="shared" si="5"/>
        <v>11918417.175099999</v>
      </c>
      <c r="AN16" s="23">
        <f t="shared" si="5"/>
        <v>8918232.5950999986</v>
      </c>
      <c r="AO16" s="23">
        <f t="shared" si="5"/>
        <v>4191933.3098999998</v>
      </c>
      <c r="AP16" s="23">
        <f t="shared" si="5"/>
        <v>31888083.6402</v>
      </c>
      <c r="AQ16" s="23">
        <f t="shared" si="5"/>
        <v>422082.79490000004</v>
      </c>
      <c r="AR16" s="23">
        <f t="shared" si="5"/>
        <v>8252075.9594000001</v>
      </c>
      <c r="AS16" s="23">
        <f t="shared" si="5"/>
        <v>14302324.128500002</v>
      </c>
      <c r="AT16" s="23">
        <f t="shared" si="5"/>
        <v>13099561.7126</v>
      </c>
      <c r="AU16" s="23">
        <f t="shared" si="5"/>
        <v>767060.91529999999</v>
      </c>
      <c r="AV16" s="23">
        <f t="shared" si="5"/>
        <v>903243.20460000006</v>
      </c>
      <c r="AW16" s="23">
        <f t="shared" si="5"/>
        <v>9076077.8011000007</v>
      </c>
      <c r="AX16" s="23">
        <f t="shared" si="5"/>
        <v>23713107.182399996</v>
      </c>
      <c r="AY16" s="23">
        <f t="shared" si="5"/>
        <v>17035647.0966</v>
      </c>
      <c r="AZ16" s="23">
        <f t="shared" si="5"/>
        <v>26136695.0493</v>
      </c>
      <c r="BA16" s="23">
        <f t="shared" si="5"/>
        <v>2556324.0318</v>
      </c>
      <c r="BB16" s="23">
        <f t="shared" si="5"/>
        <v>23851018.573899999</v>
      </c>
      <c r="BC16" s="23">
        <f t="shared" si="5"/>
        <v>48039.188200000004</v>
      </c>
      <c r="BD16" s="23">
        <f t="shared" si="5"/>
        <v>21404897.102200001</v>
      </c>
      <c r="BE16" s="23">
        <f t="shared" si="5"/>
        <v>22124265.779600002</v>
      </c>
      <c r="BF16" s="23">
        <f t="shared" si="5"/>
        <v>20027234.1127</v>
      </c>
      <c r="BG16" s="23">
        <f t="shared" si="5"/>
        <v>8061975.1899999995</v>
      </c>
      <c r="BH16" s="23">
        <f t="shared" si="5"/>
        <v>22913461.540400002</v>
      </c>
      <c r="BI16" s="23">
        <f t="shared" si="5"/>
        <v>26964879.615700003</v>
      </c>
      <c r="BJ16" s="23">
        <f t="shared" si="5"/>
        <v>38646629.288699999</v>
      </c>
      <c r="BK16" s="23">
        <f t="shared" si="5"/>
        <v>38420123.863200001</v>
      </c>
      <c r="BL16" s="23">
        <f t="shared" si="5"/>
        <v>18257134.316199999</v>
      </c>
      <c r="BM16" s="23">
        <f t="shared" si="5"/>
        <v>11173477.136300001</v>
      </c>
      <c r="BN16" s="23">
        <f t="shared" si="5"/>
        <v>18311026.983399998</v>
      </c>
      <c r="BO16" s="23">
        <f t="shared" ref="BO16:CT16" si="6">SUM(BO7:BO15)</f>
        <v>35670.699200000003</v>
      </c>
      <c r="BP16" s="23">
        <f t="shared" si="6"/>
        <v>8303974.6167000001</v>
      </c>
      <c r="BQ16" s="23">
        <f t="shared" si="6"/>
        <v>17217668.047900002</v>
      </c>
      <c r="BR16" s="23">
        <f t="shared" si="6"/>
        <v>14920001.6215</v>
      </c>
      <c r="BS16" s="23">
        <f t="shared" si="6"/>
        <v>166399.66099999999</v>
      </c>
      <c r="BT16" s="23">
        <f t="shared" si="6"/>
        <v>6269658.3416999998</v>
      </c>
      <c r="BU16" s="23">
        <f t="shared" si="6"/>
        <v>25009118.604800001</v>
      </c>
      <c r="BV16" s="23">
        <f t="shared" si="6"/>
        <v>36554847.592600003</v>
      </c>
      <c r="BW16" s="23">
        <f t="shared" si="6"/>
        <v>46778399.962499999</v>
      </c>
      <c r="BX16" s="23">
        <f t="shared" si="6"/>
        <v>36318587.208400004</v>
      </c>
      <c r="BY16" s="23">
        <f t="shared" si="6"/>
        <v>23362779.189100001</v>
      </c>
      <c r="BZ16" s="23">
        <f t="shared" si="6"/>
        <v>9658851.0829000007</v>
      </c>
      <c r="CA16" s="23">
        <f t="shared" si="6"/>
        <v>145362.28589999999</v>
      </c>
      <c r="CB16" s="23">
        <f t="shared" si="6"/>
        <v>6612728.7226</v>
      </c>
      <c r="CC16" s="23">
        <f t="shared" si="6"/>
        <v>13206940.818</v>
      </c>
      <c r="CD16" s="23">
        <f t="shared" si="6"/>
        <v>7705506.8776999991</v>
      </c>
      <c r="CE16" s="23">
        <f t="shared" si="6"/>
        <v>5379944.1765000001</v>
      </c>
      <c r="CF16" s="23">
        <f t="shared" si="6"/>
        <v>5921216.5375999995</v>
      </c>
      <c r="CG16" s="23">
        <f t="shared" si="6"/>
        <v>7669973.9008000009</v>
      </c>
      <c r="CH16" s="23">
        <f t="shared" si="6"/>
        <v>52881412.374200001</v>
      </c>
      <c r="CI16" s="23">
        <f t="shared" si="6"/>
        <v>50375352.160599999</v>
      </c>
      <c r="CJ16" s="23">
        <f t="shared" si="6"/>
        <v>33048587.5101</v>
      </c>
      <c r="CK16" s="23">
        <f t="shared" si="6"/>
        <v>10011330.000399999</v>
      </c>
      <c r="CL16" s="23">
        <f t="shared" si="6"/>
        <v>12211579.131200001</v>
      </c>
      <c r="CM16" s="23">
        <f t="shared" si="6"/>
        <v>534165.90289999999</v>
      </c>
      <c r="CN16" s="23">
        <f t="shared" si="6"/>
        <v>1927142.5386999999</v>
      </c>
      <c r="CO16" s="23">
        <f t="shared" si="6"/>
        <v>2266394.9954999997</v>
      </c>
      <c r="CP16" s="23">
        <f t="shared" si="6"/>
        <v>5011256.9632999999</v>
      </c>
      <c r="CQ16" s="23">
        <f t="shared" si="6"/>
        <v>405477.0784</v>
      </c>
      <c r="CR16" s="23">
        <f t="shared" si="6"/>
        <v>7222284.7627000008</v>
      </c>
      <c r="CS16" s="23">
        <f t="shared" si="6"/>
        <v>261175.50529999999</v>
      </c>
      <c r="CT16" s="23">
        <f t="shared" si="6"/>
        <v>27457675.328500003</v>
      </c>
      <c r="CU16" s="23">
        <f t="shared" ref="CU16:DV16" si="7">SUM(CU7:CU15)</f>
        <v>21149276.862</v>
      </c>
      <c r="CV16" s="23">
        <f t="shared" si="7"/>
        <v>17448619.4991</v>
      </c>
      <c r="CW16" s="23">
        <f t="shared" si="7"/>
        <v>12286399.161800001</v>
      </c>
      <c r="CX16" s="23">
        <f t="shared" si="7"/>
        <v>1175286.4616999999</v>
      </c>
      <c r="CY16" s="23">
        <f t="shared" si="7"/>
        <v>1210997.7690999999</v>
      </c>
      <c r="CZ16" s="23">
        <f t="shared" si="7"/>
        <v>2725509.8298999998</v>
      </c>
      <c r="DA16" s="23">
        <f t="shared" si="7"/>
        <v>9970212.3429999985</v>
      </c>
      <c r="DB16" s="23">
        <f t="shared" si="7"/>
        <v>9784972.3467000015</v>
      </c>
      <c r="DC16" s="23">
        <f t="shared" si="7"/>
        <v>3091203.4654000001</v>
      </c>
      <c r="DD16" s="23">
        <f t="shared" si="7"/>
        <v>760245.46159999992</v>
      </c>
      <c r="DE16" s="23">
        <f t="shared" si="7"/>
        <v>3583679.2809000001</v>
      </c>
      <c r="DF16" s="23">
        <f t="shared" si="7"/>
        <v>11492833.0485</v>
      </c>
      <c r="DG16" s="23">
        <f t="shared" si="7"/>
        <v>17500881.517000001</v>
      </c>
      <c r="DH16" s="23">
        <f t="shared" si="7"/>
        <v>7315373.8870999999</v>
      </c>
      <c r="DI16" s="23">
        <f t="shared" si="7"/>
        <v>23065626.938100003</v>
      </c>
      <c r="DJ16" s="23">
        <f t="shared" si="7"/>
        <v>1602480.5562</v>
      </c>
      <c r="DK16" s="23">
        <f t="shared" si="7"/>
        <v>71537.266499999998</v>
      </c>
      <c r="DL16" s="23">
        <f t="shared" si="7"/>
        <v>697373.12380000006</v>
      </c>
      <c r="DM16" s="23">
        <f t="shared" si="7"/>
        <v>1341866.7481999998</v>
      </c>
      <c r="DN16" s="23">
        <f t="shared" si="7"/>
        <v>1453564.976</v>
      </c>
      <c r="DO16" s="23">
        <f t="shared" si="7"/>
        <v>356939.27359999996</v>
      </c>
      <c r="DP16" s="23">
        <f t="shared" si="7"/>
        <v>7753361.3495000005</v>
      </c>
      <c r="DQ16" s="23">
        <f t="shared" si="7"/>
        <v>262780.71549999999</v>
      </c>
      <c r="DR16" s="23">
        <f t="shared" si="7"/>
        <v>728773.63630000001</v>
      </c>
      <c r="DS16" s="23">
        <f t="shared" si="7"/>
        <v>11436999.390000001</v>
      </c>
      <c r="DT16" s="23">
        <f t="shared" si="7"/>
        <v>654471.65999999992</v>
      </c>
      <c r="DU16" s="23">
        <f t="shared" si="7"/>
        <v>2020285.22</v>
      </c>
      <c r="DV16" s="24">
        <f t="shared" si="7"/>
        <v>9393117.4000000004</v>
      </c>
    </row>
    <row r="17" spans="1:126" ht="39.950000000000003" customHeight="1" thickTop="1" thickBot="1" x14ac:dyDescent="0.35">
      <c r="A17" s="35" t="s">
        <v>18</v>
      </c>
      <c r="B17" s="36"/>
      <c r="C17" s="25">
        <f t="shared" ref="C17:AH17" si="8">+C6+C16</f>
        <v>50537024</v>
      </c>
      <c r="D17" s="25">
        <f t="shared" si="8"/>
        <v>39118515</v>
      </c>
      <c r="E17" s="25">
        <f t="shared" si="8"/>
        <v>28094975</v>
      </c>
      <c r="F17" s="25">
        <f t="shared" si="8"/>
        <v>14129995</v>
      </c>
      <c r="G17" s="25">
        <f t="shared" si="8"/>
        <v>17509556</v>
      </c>
      <c r="H17" s="25">
        <f t="shared" si="8"/>
        <v>12724021</v>
      </c>
      <c r="I17" s="25">
        <f t="shared" si="8"/>
        <v>11800320</v>
      </c>
      <c r="J17" s="25">
        <f t="shared" si="8"/>
        <v>8551904</v>
      </c>
      <c r="K17" s="25">
        <f t="shared" si="8"/>
        <v>340057</v>
      </c>
      <c r="L17" s="25">
        <f t="shared" si="8"/>
        <v>1736660</v>
      </c>
      <c r="M17" s="25">
        <f t="shared" si="8"/>
        <v>24869012</v>
      </c>
      <c r="N17" s="25">
        <f t="shared" si="8"/>
        <v>10772465</v>
      </c>
      <c r="O17" s="25">
        <f t="shared" si="8"/>
        <v>7793567</v>
      </c>
      <c r="P17" s="25">
        <f t="shared" si="8"/>
        <v>6575543</v>
      </c>
      <c r="Q17" s="25">
        <f t="shared" si="8"/>
        <v>573677</v>
      </c>
      <c r="R17" s="25">
        <f t="shared" si="8"/>
        <v>16174651</v>
      </c>
      <c r="S17" s="25">
        <f t="shared" si="8"/>
        <v>95813</v>
      </c>
      <c r="T17" s="25">
        <f t="shared" si="8"/>
        <v>362735</v>
      </c>
      <c r="U17" s="25">
        <f t="shared" si="8"/>
        <v>7180484</v>
      </c>
      <c r="V17" s="25">
        <f t="shared" si="8"/>
        <v>6260211</v>
      </c>
      <c r="W17" s="25">
        <f t="shared" si="8"/>
        <v>4934481</v>
      </c>
      <c r="X17" s="25">
        <f t="shared" si="8"/>
        <v>269372</v>
      </c>
      <c r="Y17" s="25">
        <f t="shared" si="8"/>
        <v>791639</v>
      </c>
      <c r="Z17" s="25">
        <f t="shared" si="8"/>
        <v>19305951</v>
      </c>
      <c r="AA17" s="25">
        <f t="shared" si="8"/>
        <v>31034994.539000001</v>
      </c>
      <c r="AB17" s="25">
        <f t="shared" si="8"/>
        <v>15303481.905400001</v>
      </c>
      <c r="AC17" s="25">
        <f t="shared" si="8"/>
        <v>5875400.2925999993</v>
      </c>
      <c r="AD17" s="25">
        <f t="shared" si="8"/>
        <v>20743580.585499998</v>
      </c>
      <c r="AE17" s="25">
        <f t="shared" si="8"/>
        <v>7520535.5373</v>
      </c>
      <c r="AF17" s="25">
        <f t="shared" si="8"/>
        <v>592525.91009999998</v>
      </c>
      <c r="AG17" s="25">
        <f t="shared" si="8"/>
        <v>9559051.3387000002</v>
      </c>
      <c r="AH17" s="25">
        <f t="shared" si="8"/>
        <v>9807815.9331999999</v>
      </c>
      <c r="AI17" s="25">
        <f t="shared" ref="AI17:BN17" si="9">+AI6+AI16</f>
        <v>8148653.8589999992</v>
      </c>
      <c r="AJ17" s="25">
        <f t="shared" si="9"/>
        <v>3402608.9342999998</v>
      </c>
      <c r="AK17" s="25">
        <f t="shared" si="9"/>
        <v>3256333.3119000001</v>
      </c>
      <c r="AL17" s="25">
        <f t="shared" si="9"/>
        <v>23216027.5187</v>
      </c>
      <c r="AM17" s="25">
        <f t="shared" si="9"/>
        <v>11918417.175099999</v>
      </c>
      <c r="AN17" s="25">
        <f t="shared" si="9"/>
        <v>8918232.5950999986</v>
      </c>
      <c r="AO17" s="25">
        <f t="shared" si="9"/>
        <v>4191933.3098999998</v>
      </c>
      <c r="AP17" s="25">
        <f t="shared" si="9"/>
        <v>31888083.6402</v>
      </c>
      <c r="AQ17" s="25">
        <f t="shared" si="9"/>
        <v>422082.79490000004</v>
      </c>
      <c r="AR17" s="25">
        <f t="shared" si="9"/>
        <v>8252075.9594000001</v>
      </c>
      <c r="AS17" s="25">
        <f t="shared" si="9"/>
        <v>14302324.128500002</v>
      </c>
      <c r="AT17" s="25">
        <f t="shared" si="9"/>
        <v>13099561.7126</v>
      </c>
      <c r="AU17" s="25">
        <f t="shared" si="9"/>
        <v>767060.91529999999</v>
      </c>
      <c r="AV17" s="25">
        <f t="shared" si="9"/>
        <v>903243.20460000006</v>
      </c>
      <c r="AW17" s="25">
        <f t="shared" si="9"/>
        <v>9076077.8011000007</v>
      </c>
      <c r="AX17" s="25">
        <f t="shared" si="9"/>
        <v>23713107.182399996</v>
      </c>
      <c r="AY17" s="25">
        <f t="shared" si="9"/>
        <v>17035647.0966</v>
      </c>
      <c r="AZ17" s="25">
        <f t="shared" si="9"/>
        <v>26136695.0493</v>
      </c>
      <c r="BA17" s="25">
        <f t="shared" si="9"/>
        <v>2556324.0318</v>
      </c>
      <c r="BB17" s="25">
        <f t="shared" si="9"/>
        <v>23851018.573899999</v>
      </c>
      <c r="BC17" s="25">
        <f t="shared" si="9"/>
        <v>48039.188200000004</v>
      </c>
      <c r="BD17" s="25">
        <f t="shared" si="9"/>
        <v>21404897.102200001</v>
      </c>
      <c r="BE17" s="25">
        <f t="shared" si="9"/>
        <v>22124265.779600002</v>
      </c>
      <c r="BF17" s="25">
        <f t="shared" si="9"/>
        <v>20027234.1127</v>
      </c>
      <c r="BG17" s="25">
        <f t="shared" si="9"/>
        <v>8061975.1899999995</v>
      </c>
      <c r="BH17" s="25">
        <f t="shared" si="9"/>
        <v>22913461.540400002</v>
      </c>
      <c r="BI17" s="25">
        <f t="shared" si="9"/>
        <v>26964879.615700003</v>
      </c>
      <c r="BJ17" s="25">
        <f t="shared" si="9"/>
        <v>38646629.288699999</v>
      </c>
      <c r="BK17" s="25">
        <f t="shared" si="9"/>
        <v>38420123.863200001</v>
      </c>
      <c r="BL17" s="25">
        <f t="shared" si="9"/>
        <v>18257134.316199999</v>
      </c>
      <c r="BM17" s="25">
        <f t="shared" si="9"/>
        <v>11173477.136300001</v>
      </c>
      <c r="BN17" s="25">
        <f t="shared" si="9"/>
        <v>18311026.983399998</v>
      </c>
      <c r="BO17" s="25">
        <f t="shared" ref="BO17:CT17" si="10">+BO6+BO16</f>
        <v>35670.699200000003</v>
      </c>
      <c r="BP17" s="25">
        <f t="shared" si="10"/>
        <v>8303974.6167000001</v>
      </c>
      <c r="BQ17" s="25">
        <f t="shared" si="10"/>
        <v>17217668.047900002</v>
      </c>
      <c r="BR17" s="25">
        <f t="shared" si="10"/>
        <v>14920001.6215</v>
      </c>
      <c r="BS17" s="25">
        <f t="shared" si="10"/>
        <v>166399.66099999999</v>
      </c>
      <c r="BT17" s="25">
        <f t="shared" si="10"/>
        <v>6269658.3416999998</v>
      </c>
      <c r="BU17" s="25">
        <f t="shared" si="10"/>
        <v>25009118.604800001</v>
      </c>
      <c r="BV17" s="25">
        <f t="shared" si="10"/>
        <v>36554847.592600003</v>
      </c>
      <c r="BW17" s="25">
        <f t="shared" si="10"/>
        <v>46778399.962499999</v>
      </c>
      <c r="BX17" s="25">
        <f t="shared" si="10"/>
        <v>36318587.208400004</v>
      </c>
      <c r="BY17" s="25">
        <f t="shared" si="10"/>
        <v>23362779.189100001</v>
      </c>
      <c r="BZ17" s="25">
        <f t="shared" si="10"/>
        <v>9658851.0829000007</v>
      </c>
      <c r="CA17" s="25">
        <f t="shared" si="10"/>
        <v>145362.28589999999</v>
      </c>
      <c r="CB17" s="25">
        <f t="shared" si="10"/>
        <v>6612728.7226</v>
      </c>
      <c r="CC17" s="25">
        <f t="shared" si="10"/>
        <v>13206940.818</v>
      </c>
      <c r="CD17" s="25">
        <f t="shared" si="10"/>
        <v>7705506.8776999991</v>
      </c>
      <c r="CE17" s="25">
        <f t="shared" si="10"/>
        <v>5379944.1765000001</v>
      </c>
      <c r="CF17" s="25">
        <f t="shared" si="10"/>
        <v>5921216.5375999995</v>
      </c>
      <c r="CG17" s="25">
        <f t="shared" si="10"/>
        <v>7669973.9008000009</v>
      </c>
      <c r="CH17" s="25">
        <f t="shared" si="10"/>
        <v>52881412.374200001</v>
      </c>
      <c r="CI17" s="25">
        <f t="shared" si="10"/>
        <v>50375352.160599999</v>
      </c>
      <c r="CJ17" s="25">
        <f t="shared" si="10"/>
        <v>33048587.5101</v>
      </c>
      <c r="CK17" s="25">
        <f t="shared" si="10"/>
        <v>10011330.000399999</v>
      </c>
      <c r="CL17" s="25">
        <f t="shared" si="10"/>
        <v>12211579.131200001</v>
      </c>
      <c r="CM17" s="25">
        <f t="shared" si="10"/>
        <v>534165.90289999999</v>
      </c>
      <c r="CN17" s="25">
        <f t="shared" si="10"/>
        <v>1927142.5386999999</v>
      </c>
      <c r="CO17" s="25">
        <f t="shared" si="10"/>
        <v>2266394.9954999997</v>
      </c>
      <c r="CP17" s="25">
        <f t="shared" si="10"/>
        <v>5011256.9632999999</v>
      </c>
      <c r="CQ17" s="25">
        <f t="shared" si="10"/>
        <v>405477.0784</v>
      </c>
      <c r="CR17" s="25">
        <f t="shared" si="10"/>
        <v>7222284.7627000008</v>
      </c>
      <c r="CS17" s="25">
        <f t="shared" si="10"/>
        <v>261175.50529999999</v>
      </c>
      <c r="CT17" s="25">
        <f t="shared" si="10"/>
        <v>27457675.328500003</v>
      </c>
      <c r="CU17" s="25">
        <f t="shared" ref="CU17:DV17" si="11">+CU6+CU16</f>
        <v>21149276.862</v>
      </c>
      <c r="CV17" s="25">
        <f t="shared" si="11"/>
        <v>17448619.4991</v>
      </c>
      <c r="CW17" s="25">
        <f t="shared" si="11"/>
        <v>12286399.161800001</v>
      </c>
      <c r="CX17" s="25">
        <f t="shared" si="11"/>
        <v>1175286.4616999999</v>
      </c>
      <c r="CY17" s="25">
        <f t="shared" si="11"/>
        <v>1210997.7690999999</v>
      </c>
      <c r="CZ17" s="25">
        <f t="shared" si="11"/>
        <v>2725509.8298999998</v>
      </c>
      <c r="DA17" s="25">
        <f t="shared" si="11"/>
        <v>9970212.3429999985</v>
      </c>
      <c r="DB17" s="25">
        <f t="shared" si="11"/>
        <v>9784972.3467000015</v>
      </c>
      <c r="DC17" s="25">
        <f t="shared" si="11"/>
        <v>3091203.4654000001</v>
      </c>
      <c r="DD17" s="25">
        <f t="shared" si="11"/>
        <v>760245.46159999992</v>
      </c>
      <c r="DE17" s="25">
        <f t="shared" si="11"/>
        <v>3583679.2809000001</v>
      </c>
      <c r="DF17" s="25">
        <f t="shared" si="11"/>
        <v>11492833.0485</v>
      </c>
      <c r="DG17" s="25">
        <f t="shared" si="11"/>
        <v>17500881.517000001</v>
      </c>
      <c r="DH17" s="25">
        <f t="shared" si="11"/>
        <v>7315373.8870999999</v>
      </c>
      <c r="DI17" s="25">
        <f t="shared" si="11"/>
        <v>23065626.938100003</v>
      </c>
      <c r="DJ17" s="25">
        <f t="shared" si="11"/>
        <v>1602480.5562</v>
      </c>
      <c r="DK17" s="25">
        <f t="shared" si="11"/>
        <v>71537.266499999998</v>
      </c>
      <c r="DL17" s="25">
        <f t="shared" si="11"/>
        <v>697373.12380000006</v>
      </c>
      <c r="DM17" s="25">
        <f t="shared" si="11"/>
        <v>1341866.7481999998</v>
      </c>
      <c r="DN17" s="25">
        <f t="shared" si="11"/>
        <v>1453564.976</v>
      </c>
      <c r="DO17" s="25">
        <f t="shared" si="11"/>
        <v>356939.27359999996</v>
      </c>
      <c r="DP17" s="25">
        <f t="shared" si="11"/>
        <v>7753361.3495000005</v>
      </c>
      <c r="DQ17" s="25">
        <f t="shared" si="11"/>
        <v>262780.71549999999</v>
      </c>
      <c r="DR17" s="25">
        <f t="shared" si="11"/>
        <v>728773.63630000001</v>
      </c>
      <c r="DS17" s="25">
        <f t="shared" si="11"/>
        <v>11436999.390000001</v>
      </c>
      <c r="DT17" s="25">
        <f t="shared" si="11"/>
        <v>654471.65999999992</v>
      </c>
      <c r="DU17" s="25">
        <f t="shared" si="11"/>
        <v>2020285.22</v>
      </c>
      <c r="DV17" s="26">
        <f t="shared" si="11"/>
        <v>9393117.4000000004</v>
      </c>
    </row>
  </sheetData>
  <mergeCells count="5">
    <mergeCell ref="A17:B17"/>
    <mergeCell ref="A16:B16"/>
    <mergeCell ref="A6:B6"/>
    <mergeCell ref="A7:A15"/>
    <mergeCell ref="A2:A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31FF-12FE-4630-B779-612A46ADA004}">
  <dimension ref="A1:DV32"/>
  <sheetViews>
    <sheetView tabSelected="1" zoomScale="85" zoomScaleNormal="85" workbookViewId="0">
      <pane xSplit="2" ySplit="1" topLeftCell="CZ4" activePane="bottomRight" state="frozen"/>
      <selection activeCell="B2" sqref="B2:B5"/>
      <selection pane="topRight" activeCell="B2" sqref="B2:B5"/>
      <selection pane="bottomLeft" activeCell="B2" sqref="B2:B5"/>
      <selection pane="bottomRight" activeCell="CK7" sqref="CK7:DV7"/>
    </sheetView>
  </sheetViews>
  <sheetFormatPr defaultRowHeight="16.5" x14ac:dyDescent="0.3"/>
  <cols>
    <col min="2" max="2" width="15.125" bestFit="1" customWidth="1"/>
    <col min="3" max="126" width="10.625" customWidth="1"/>
  </cols>
  <sheetData>
    <row r="1" spans="1:126" s="1" customFormat="1" ht="30" customHeight="1" x14ac:dyDescent="0.3">
      <c r="A1" s="2" t="s">
        <v>0</v>
      </c>
      <c r="B1" s="3" t="s">
        <v>4</v>
      </c>
      <c r="C1" s="4">
        <v>42370</v>
      </c>
      <c r="D1" s="4">
        <v>42401</v>
      </c>
      <c r="E1" s="4">
        <v>42430</v>
      </c>
      <c r="F1" s="4">
        <v>42461</v>
      </c>
      <c r="G1" s="4">
        <v>42491</v>
      </c>
      <c r="H1" s="4">
        <v>42522</v>
      </c>
      <c r="I1" s="4">
        <v>42552</v>
      </c>
      <c r="J1" s="4">
        <v>42583</v>
      </c>
      <c r="K1" s="4">
        <v>42614</v>
      </c>
      <c r="L1" s="4">
        <v>42644</v>
      </c>
      <c r="M1" s="4">
        <v>42675</v>
      </c>
      <c r="N1" s="4">
        <v>42705</v>
      </c>
      <c r="O1" s="4">
        <v>42736</v>
      </c>
      <c r="P1" s="4">
        <v>42767</v>
      </c>
      <c r="Q1" s="4">
        <v>42795</v>
      </c>
      <c r="R1" s="4">
        <v>42826</v>
      </c>
      <c r="S1" s="4">
        <v>42856</v>
      </c>
      <c r="T1" s="4">
        <v>42887</v>
      </c>
      <c r="U1" s="4">
        <v>42917</v>
      </c>
      <c r="V1" s="4">
        <v>42948</v>
      </c>
      <c r="W1" s="4">
        <v>42979</v>
      </c>
      <c r="X1" s="4">
        <v>43009</v>
      </c>
      <c r="Y1" s="4">
        <v>43040</v>
      </c>
      <c r="Z1" s="4">
        <v>43070</v>
      </c>
      <c r="AA1" s="4">
        <v>43101</v>
      </c>
      <c r="AB1" s="4">
        <v>43132</v>
      </c>
      <c r="AC1" s="4">
        <v>43160</v>
      </c>
      <c r="AD1" s="4">
        <v>43191</v>
      </c>
      <c r="AE1" s="4">
        <v>43221</v>
      </c>
      <c r="AF1" s="4">
        <v>43252</v>
      </c>
      <c r="AG1" s="4">
        <v>43282</v>
      </c>
      <c r="AH1" s="4">
        <v>43313</v>
      </c>
      <c r="AI1" s="4">
        <v>43344</v>
      </c>
      <c r="AJ1" s="4">
        <v>43374</v>
      </c>
      <c r="AK1" s="4">
        <v>43405</v>
      </c>
      <c r="AL1" s="4">
        <v>43435</v>
      </c>
      <c r="AM1" s="4">
        <v>43466</v>
      </c>
      <c r="AN1" s="4">
        <v>43497</v>
      </c>
      <c r="AO1" s="4">
        <v>43525</v>
      </c>
      <c r="AP1" s="4">
        <v>43556</v>
      </c>
      <c r="AQ1" s="4">
        <v>43586</v>
      </c>
      <c r="AR1" s="4">
        <v>43617</v>
      </c>
      <c r="AS1" s="4">
        <v>43647</v>
      </c>
      <c r="AT1" s="4">
        <v>43678</v>
      </c>
      <c r="AU1" s="4">
        <v>43709</v>
      </c>
      <c r="AV1" s="4">
        <v>43739</v>
      </c>
      <c r="AW1" s="4">
        <v>43770</v>
      </c>
      <c r="AX1" s="4">
        <v>43800</v>
      </c>
      <c r="AY1" s="4">
        <v>43831</v>
      </c>
      <c r="AZ1" s="4">
        <v>43862</v>
      </c>
      <c r="BA1" s="4">
        <v>43891</v>
      </c>
      <c r="BB1" s="4">
        <v>43922</v>
      </c>
      <c r="BC1" s="4">
        <v>43952</v>
      </c>
      <c r="BD1" s="4">
        <v>43983</v>
      </c>
      <c r="BE1" s="4">
        <v>44013</v>
      </c>
      <c r="BF1" s="4">
        <v>44044</v>
      </c>
      <c r="BG1" s="4">
        <v>44075</v>
      </c>
      <c r="BH1" s="4">
        <v>44105</v>
      </c>
      <c r="BI1" s="4">
        <v>44136</v>
      </c>
      <c r="BJ1" s="4">
        <v>44166</v>
      </c>
      <c r="BK1" s="4">
        <v>44197</v>
      </c>
      <c r="BL1" s="4">
        <v>44228</v>
      </c>
      <c r="BM1" s="4">
        <v>44256</v>
      </c>
      <c r="BN1" s="4">
        <v>44287</v>
      </c>
      <c r="BO1" s="4">
        <v>44317</v>
      </c>
      <c r="BP1" s="4">
        <v>44348</v>
      </c>
      <c r="BQ1" s="4">
        <v>44378</v>
      </c>
      <c r="BR1" s="4">
        <v>44409</v>
      </c>
      <c r="BS1" s="4">
        <v>44440</v>
      </c>
      <c r="BT1" s="4">
        <v>44470</v>
      </c>
      <c r="BU1" s="4">
        <v>44501</v>
      </c>
      <c r="BV1" s="4">
        <v>44531</v>
      </c>
      <c r="BW1" s="4">
        <v>44562</v>
      </c>
      <c r="BX1" s="4">
        <v>44593</v>
      </c>
      <c r="BY1" s="4">
        <v>44621</v>
      </c>
      <c r="BZ1" s="4">
        <v>44652</v>
      </c>
      <c r="CA1" s="4">
        <v>44682</v>
      </c>
      <c r="CB1" s="4">
        <v>44713</v>
      </c>
      <c r="CC1" s="4">
        <v>44743</v>
      </c>
      <c r="CD1" s="4">
        <v>44774</v>
      </c>
      <c r="CE1" s="4">
        <v>44805</v>
      </c>
      <c r="CF1" s="4">
        <v>44835</v>
      </c>
      <c r="CG1" s="4">
        <v>44866</v>
      </c>
      <c r="CH1" s="4">
        <v>44896</v>
      </c>
      <c r="CI1" s="4">
        <v>44927</v>
      </c>
      <c r="CJ1" s="4">
        <v>44958</v>
      </c>
      <c r="CK1" s="4">
        <v>44986</v>
      </c>
      <c r="CL1" s="4">
        <v>45017</v>
      </c>
      <c r="CM1" s="4">
        <v>45047</v>
      </c>
      <c r="CN1" s="4">
        <v>45078</v>
      </c>
      <c r="CO1" s="4">
        <v>45108</v>
      </c>
      <c r="CP1" s="4">
        <v>45139</v>
      </c>
      <c r="CQ1" s="4">
        <v>45170</v>
      </c>
      <c r="CR1" s="4">
        <v>45200</v>
      </c>
      <c r="CS1" s="4">
        <v>45231</v>
      </c>
      <c r="CT1" s="4">
        <v>45261</v>
      </c>
      <c r="CU1" s="4">
        <v>45292</v>
      </c>
      <c r="CV1" s="4">
        <v>45323</v>
      </c>
      <c r="CW1" s="4">
        <v>45352</v>
      </c>
      <c r="CX1" s="4">
        <v>45383</v>
      </c>
      <c r="CY1" s="4">
        <v>45413</v>
      </c>
      <c r="CZ1" s="4">
        <v>45444</v>
      </c>
      <c r="DA1" s="4">
        <v>45474</v>
      </c>
      <c r="DB1" s="4">
        <v>45505</v>
      </c>
      <c r="DC1" s="4">
        <v>45536</v>
      </c>
      <c r="DD1" s="4">
        <v>45566</v>
      </c>
      <c r="DE1" s="4">
        <v>45597</v>
      </c>
      <c r="DF1" s="4">
        <v>45627</v>
      </c>
      <c r="DG1" s="4">
        <v>45658</v>
      </c>
      <c r="DH1" s="4">
        <v>45689</v>
      </c>
      <c r="DI1" s="4">
        <v>45717</v>
      </c>
      <c r="DJ1" s="4">
        <v>45748</v>
      </c>
      <c r="DK1" s="4">
        <v>45778</v>
      </c>
      <c r="DL1" s="4">
        <v>45809</v>
      </c>
      <c r="DM1" s="4">
        <v>45839</v>
      </c>
      <c r="DN1" s="4">
        <v>45870</v>
      </c>
      <c r="DO1" s="4">
        <v>45901</v>
      </c>
      <c r="DP1" s="4">
        <v>45931</v>
      </c>
      <c r="DQ1" s="4">
        <v>45962</v>
      </c>
      <c r="DR1" s="4">
        <v>45992</v>
      </c>
      <c r="DS1" s="4">
        <v>46023</v>
      </c>
      <c r="DT1" s="4">
        <v>46054</v>
      </c>
      <c r="DU1" s="4">
        <v>46082</v>
      </c>
      <c r="DV1" s="14">
        <v>46113</v>
      </c>
    </row>
    <row r="2" spans="1:126" ht="24.95" customHeight="1" x14ac:dyDescent="0.3">
      <c r="A2" s="37" t="s">
        <v>1</v>
      </c>
      <c r="B2" s="11" t="s">
        <v>5</v>
      </c>
      <c r="C2" s="28">
        <v>0.65400000000000003</v>
      </c>
      <c r="D2" s="28">
        <v>0.69910000000000005</v>
      </c>
      <c r="E2" s="28">
        <v>0.76300000000000001</v>
      </c>
      <c r="F2" s="28">
        <v>1.0536000000000001</v>
      </c>
      <c r="G2" s="28">
        <v>1.274</v>
      </c>
      <c r="H2" s="28">
        <v>1.4295</v>
      </c>
      <c r="I2" s="28">
        <v>1.5486</v>
      </c>
      <c r="J2" s="28">
        <v>1.6094999999999999</v>
      </c>
      <c r="K2" s="28">
        <v>1.6554</v>
      </c>
      <c r="L2" s="28">
        <v>1.2707999999999999</v>
      </c>
      <c r="M2" s="28">
        <v>0.83579999999999999</v>
      </c>
      <c r="N2" s="28">
        <v>0.68440000000000001</v>
      </c>
      <c r="O2" s="28">
        <v>0.67020000000000002</v>
      </c>
      <c r="P2" s="28">
        <v>0.62770000000000004</v>
      </c>
      <c r="Q2" s="28">
        <v>0.70130000000000003</v>
      </c>
      <c r="R2" s="28">
        <v>0.96879999999999999</v>
      </c>
      <c r="S2" s="28">
        <v>1.2563</v>
      </c>
      <c r="T2" s="28">
        <v>1.3783000000000001</v>
      </c>
      <c r="U2" s="28">
        <v>1.4625999999999999</v>
      </c>
      <c r="V2" s="28">
        <v>1.5745</v>
      </c>
      <c r="W2" s="28">
        <v>1.4576</v>
      </c>
      <c r="X2" s="28">
        <v>1.3729</v>
      </c>
      <c r="Y2" s="28">
        <v>0.82410000000000005</v>
      </c>
      <c r="Z2" s="28">
        <v>0.59750000000000003</v>
      </c>
      <c r="AA2" s="28">
        <v>0.56999999999999995</v>
      </c>
      <c r="AB2" s="28">
        <v>0.60970000000000002</v>
      </c>
      <c r="AC2" s="28">
        <v>0.68710000000000004</v>
      </c>
      <c r="AD2" s="28">
        <v>0.91920000000000002</v>
      </c>
      <c r="AE2" s="28">
        <v>1.1499999999999999</v>
      </c>
      <c r="AF2" s="28">
        <v>1.3472999999999999</v>
      </c>
      <c r="AG2" s="28">
        <v>1.3909</v>
      </c>
      <c r="AH2" s="28">
        <v>1.3915</v>
      </c>
      <c r="AI2" s="28">
        <v>1.4124000000000001</v>
      </c>
      <c r="AJ2" s="28">
        <v>0.63280000000000003</v>
      </c>
      <c r="AK2" s="28">
        <v>0.71450000000000002</v>
      </c>
      <c r="AL2" s="28">
        <v>0.54330000000000001</v>
      </c>
      <c r="AM2" s="28">
        <v>0.50749999999999995</v>
      </c>
      <c r="AN2" s="28">
        <v>0.60409999999999997</v>
      </c>
      <c r="AO2" s="28">
        <v>0.64880000000000004</v>
      </c>
      <c r="AP2" s="28">
        <v>0.81579999999999997</v>
      </c>
      <c r="AQ2" s="28">
        <v>1.0209999999999999</v>
      </c>
      <c r="AR2" s="28">
        <v>1.2668999999999999</v>
      </c>
      <c r="AS2" s="28">
        <v>1.2667999999999999</v>
      </c>
      <c r="AT2" s="28">
        <v>1.4319</v>
      </c>
      <c r="AU2" s="28">
        <v>1.3385</v>
      </c>
      <c r="AV2" s="28">
        <v>1.0749</v>
      </c>
      <c r="AW2" s="28">
        <v>0.68100000000000005</v>
      </c>
      <c r="AX2" s="28">
        <v>0.52910000000000001</v>
      </c>
      <c r="AY2" s="28">
        <v>0.49340000000000001</v>
      </c>
      <c r="AZ2" s="28">
        <v>0.6</v>
      </c>
      <c r="BA2" s="28">
        <v>0.69589999999999996</v>
      </c>
      <c r="BB2" s="28">
        <v>0.97330000000000005</v>
      </c>
      <c r="BC2" s="28">
        <v>1.2235</v>
      </c>
      <c r="BD2" s="28">
        <v>1.4730000000000001</v>
      </c>
      <c r="BE2" s="28">
        <v>1.2983</v>
      </c>
      <c r="BF2" s="28">
        <v>1.4604999999999999</v>
      </c>
      <c r="BG2" s="28">
        <v>1.3166</v>
      </c>
      <c r="BH2" s="28">
        <v>1.0399</v>
      </c>
      <c r="BI2" s="28">
        <v>0.6915</v>
      </c>
      <c r="BJ2" s="28">
        <v>0.45850000000000002</v>
      </c>
      <c r="BK2" s="28">
        <v>0.42109999999999997</v>
      </c>
      <c r="BL2" s="28">
        <v>0.53680000000000005</v>
      </c>
      <c r="BM2" s="28">
        <v>0.5675</v>
      </c>
      <c r="BN2" s="28">
        <v>0.80269999999999997</v>
      </c>
      <c r="BO2" s="28">
        <v>0.95279999999999998</v>
      </c>
      <c r="BP2" s="28">
        <v>1.1359999999999999</v>
      </c>
      <c r="BQ2" s="28">
        <v>1.1416999999999999</v>
      </c>
      <c r="BR2" s="28">
        <v>1.3327</v>
      </c>
      <c r="BS2" s="28">
        <v>1.2681</v>
      </c>
      <c r="BT2" s="28">
        <v>0.92610000000000003</v>
      </c>
      <c r="BU2" s="28">
        <v>0.5776</v>
      </c>
      <c r="BV2" s="28">
        <v>0.42130000000000001</v>
      </c>
      <c r="BW2" s="28">
        <v>0.39300000000000002</v>
      </c>
      <c r="BX2" s="28">
        <v>0.43519999999999998</v>
      </c>
      <c r="BY2" s="28">
        <v>0.49120000000000003</v>
      </c>
      <c r="BZ2" s="28">
        <v>0.7823</v>
      </c>
      <c r="CA2" s="28">
        <v>0.91739999999999999</v>
      </c>
      <c r="CB2" s="28">
        <v>1.0548999999999999</v>
      </c>
      <c r="CC2" s="28">
        <v>1.0732999999999999</v>
      </c>
      <c r="CD2" s="28">
        <v>1.1856</v>
      </c>
      <c r="CE2" s="28">
        <v>1.1405000000000001</v>
      </c>
      <c r="CF2" s="28">
        <v>0.85750000000000004</v>
      </c>
      <c r="CG2" s="28">
        <v>0.5827</v>
      </c>
      <c r="CH2" s="28">
        <v>0.35260000000000002</v>
      </c>
      <c r="CI2" s="28">
        <v>0.35639999999999999</v>
      </c>
      <c r="CJ2" s="28">
        <v>0.43120000000000003</v>
      </c>
      <c r="CK2" s="28">
        <v>0.53979999999999995</v>
      </c>
      <c r="CL2" s="28">
        <v>0.74</v>
      </c>
      <c r="CM2" s="28">
        <v>0.86680000000000001</v>
      </c>
      <c r="CN2" s="28">
        <v>1.0121</v>
      </c>
      <c r="CO2" s="28">
        <v>1.0617000000000001</v>
      </c>
      <c r="CP2" s="28">
        <v>1.1188</v>
      </c>
      <c r="CQ2" s="28">
        <v>1.1107</v>
      </c>
      <c r="CR2" s="28">
        <v>0.88890000000000002</v>
      </c>
      <c r="CS2" s="28">
        <v>0.502</v>
      </c>
      <c r="CT2" s="28">
        <v>0.36630000000000001</v>
      </c>
      <c r="CU2" s="28">
        <v>0.33510000000000001</v>
      </c>
      <c r="CV2" s="28">
        <v>0.40749999999999997</v>
      </c>
      <c r="CW2" s="28">
        <v>0.42930000000000001</v>
      </c>
      <c r="CX2" s="28">
        <v>0.7006</v>
      </c>
      <c r="CY2" s="28">
        <v>0.81140000000000001</v>
      </c>
      <c r="CZ2" s="28">
        <v>0.9325</v>
      </c>
      <c r="DA2" s="28">
        <v>0.92859999999999998</v>
      </c>
      <c r="DB2" s="28">
        <v>1.0238</v>
      </c>
      <c r="DC2" s="28">
        <v>1.0385</v>
      </c>
      <c r="DD2" s="28">
        <v>0.85489999999999999</v>
      </c>
      <c r="DE2" s="28">
        <v>0.54200000000000004</v>
      </c>
      <c r="DF2" s="28">
        <v>0.34789999999999999</v>
      </c>
      <c r="DG2" s="28">
        <v>0.32540000000000002</v>
      </c>
      <c r="DH2" s="28">
        <v>0.33750000000000002</v>
      </c>
      <c r="DI2" s="28">
        <v>0.41370000000000001</v>
      </c>
      <c r="DJ2" s="28">
        <v>0.64339999999999997</v>
      </c>
      <c r="DK2" s="28">
        <v>0.7792</v>
      </c>
      <c r="DL2" s="28">
        <v>0.93159999999999998</v>
      </c>
      <c r="DM2" s="28">
        <v>0.9214</v>
      </c>
      <c r="DN2" s="28">
        <v>0.99329999999999996</v>
      </c>
      <c r="DO2" s="28">
        <v>0.92190000000000005</v>
      </c>
      <c r="DP2" s="28">
        <v>0.82809999999999995</v>
      </c>
      <c r="DQ2" s="28">
        <v>0.48399999999999999</v>
      </c>
      <c r="DR2" s="28">
        <v>0.32840000000000003</v>
      </c>
      <c r="DS2" s="28">
        <v>0.2782</v>
      </c>
      <c r="DT2" s="28">
        <v>0.35349999999999998</v>
      </c>
      <c r="DU2" s="28">
        <v>0.40100000000000002</v>
      </c>
      <c r="DV2" s="32">
        <v>0.62629999999999997</v>
      </c>
    </row>
    <row r="3" spans="1:126" ht="24.95" customHeight="1" x14ac:dyDescent="0.3">
      <c r="A3" s="37"/>
      <c r="B3" s="11" t="s">
        <v>6</v>
      </c>
      <c r="C3" s="28">
        <v>61.606400000000001</v>
      </c>
      <c r="D3" s="28">
        <v>60.910499999999999</v>
      </c>
      <c r="E3" s="28">
        <v>53.914400000000001</v>
      </c>
      <c r="F3" s="28">
        <v>44.902099999999997</v>
      </c>
      <c r="G3" s="28">
        <v>32.714799999999997</v>
      </c>
      <c r="H3" s="28">
        <v>25.324200000000001</v>
      </c>
      <c r="I3" s="28">
        <v>22.001100000000001</v>
      </c>
      <c r="J3" s="28">
        <v>18.616299999999999</v>
      </c>
      <c r="K3" s="28">
        <v>25.735800000000001</v>
      </c>
      <c r="L3" s="28">
        <v>38.313699999999997</v>
      </c>
      <c r="M3" s="28">
        <v>52.088299999999997</v>
      </c>
      <c r="N3" s="28">
        <v>59.293799999999997</v>
      </c>
      <c r="O3" s="28">
        <v>63.840200000000003</v>
      </c>
      <c r="P3" s="28">
        <v>60.914700000000003</v>
      </c>
      <c r="Q3" s="28">
        <v>56.136899999999997</v>
      </c>
      <c r="R3" s="28">
        <v>44.925600000000003</v>
      </c>
      <c r="S3" s="28">
        <v>32.357999999999997</v>
      </c>
      <c r="T3" s="28">
        <v>25.7591</v>
      </c>
      <c r="U3" s="28">
        <v>20.4072</v>
      </c>
      <c r="V3" s="28">
        <v>19.5275</v>
      </c>
      <c r="W3" s="28">
        <v>22.671299999999999</v>
      </c>
      <c r="X3" s="28">
        <v>42.174500000000002</v>
      </c>
      <c r="Y3" s="28">
        <v>55.926699999999997</v>
      </c>
      <c r="Z3" s="28">
        <v>63.4863</v>
      </c>
      <c r="AA3" s="28">
        <v>65.009600000000006</v>
      </c>
      <c r="AB3" s="28">
        <v>65.478999999999999</v>
      </c>
      <c r="AC3" s="28">
        <v>56.984999999999999</v>
      </c>
      <c r="AD3" s="28">
        <v>46.598799999999997</v>
      </c>
      <c r="AE3" s="28">
        <v>35.5732</v>
      </c>
      <c r="AF3" s="28">
        <v>25.922699999999999</v>
      </c>
      <c r="AG3" s="28">
        <v>21.577000000000002</v>
      </c>
      <c r="AH3" s="28">
        <v>18.628299999999999</v>
      </c>
      <c r="AI3" s="28">
        <v>27.946999999999999</v>
      </c>
      <c r="AJ3" s="28">
        <v>44.845599999999997</v>
      </c>
      <c r="AK3" s="28">
        <v>55.784799999999997</v>
      </c>
      <c r="AL3" s="28">
        <v>64.5227</v>
      </c>
      <c r="AM3" s="28">
        <v>64.984300000000005</v>
      </c>
      <c r="AN3" s="28">
        <v>65.857200000000006</v>
      </c>
      <c r="AO3" s="28">
        <v>57.791899999999998</v>
      </c>
      <c r="AP3" s="28">
        <v>49.810899999999997</v>
      </c>
      <c r="AQ3" s="28">
        <v>33.975000000000001</v>
      </c>
      <c r="AR3" s="28">
        <v>28.4161</v>
      </c>
      <c r="AS3" s="28">
        <v>24.414999999999999</v>
      </c>
      <c r="AT3" s="28">
        <v>21.189399999999999</v>
      </c>
      <c r="AU3" s="28">
        <v>26.762</v>
      </c>
      <c r="AV3" s="28">
        <v>39.159300000000002</v>
      </c>
      <c r="AW3" s="28">
        <v>54.776000000000003</v>
      </c>
      <c r="AX3" s="28">
        <v>64.063999999999993</v>
      </c>
      <c r="AY3" s="28">
        <v>65.721800000000002</v>
      </c>
      <c r="AZ3" s="28">
        <v>64.6267</v>
      </c>
      <c r="BA3" s="28">
        <v>61.115200000000002</v>
      </c>
      <c r="BB3" s="28">
        <v>57.855899999999998</v>
      </c>
      <c r="BC3" s="28">
        <v>42.582500000000003</v>
      </c>
      <c r="BD3" s="28">
        <v>31.104099999999999</v>
      </c>
      <c r="BE3" s="28">
        <v>30.3659</v>
      </c>
      <c r="BF3" s="28">
        <v>26.4512</v>
      </c>
      <c r="BG3" s="28">
        <v>30.735099999999999</v>
      </c>
      <c r="BH3" s="28">
        <v>46.174100000000003</v>
      </c>
      <c r="BI3" s="28">
        <v>57.991100000000003</v>
      </c>
      <c r="BJ3" s="28">
        <v>67.079499999999996</v>
      </c>
      <c r="BK3" s="28">
        <v>69.092399999999998</v>
      </c>
      <c r="BL3" s="28">
        <v>66.947000000000003</v>
      </c>
      <c r="BM3" s="28">
        <v>59.988900000000001</v>
      </c>
      <c r="BN3" s="28">
        <v>50.7943</v>
      </c>
      <c r="BO3" s="28">
        <v>40.697800000000001</v>
      </c>
      <c r="BP3" s="28">
        <v>30.421099999999999</v>
      </c>
      <c r="BQ3" s="28">
        <v>24.916699999999999</v>
      </c>
      <c r="BR3" s="28">
        <v>24.867599999999999</v>
      </c>
      <c r="BS3" s="28">
        <v>29.7742</v>
      </c>
      <c r="BT3" s="28">
        <v>43.938800000000001</v>
      </c>
      <c r="BU3" s="28">
        <v>59.435699999999997</v>
      </c>
      <c r="BV3" s="28">
        <v>66.5976</v>
      </c>
      <c r="BW3" s="28">
        <v>69.328800000000001</v>
      </c>
      <c r="BX3" s="28">
        <v>69.651700000000005</v>
      </c>
      <c r="BY3" s="28">
        <v>61.611400000000003</v>
      </c>
      <c r="BZ3" s="28">
        <v>49.517800000000001</v>
      </c>
      <c r="CA3" s="28">
        <v>37.2819</v>
      </c>
      <c r="CB3" s="28">
        <v>28.475200000000001</v>
      </c>
      <c r="CC3" s="28">
        <v>21.282900000000001</v>
      </c>
      <c r="CD3" s="28">
        <v>21.994</v>
      </c>
      <c r="CE3" s="28">
        <v>29.410599999999999</v>
      </c>
      <c r="CF3" s="28">
        <v>45.796300000000002</v>
      </c>
      <c r="CG3" s="28">
        <v>57.873100000000001</v>
      </c>
      <c r="CH3" s="28">
        <v>68.845399999999998</v>
      </c>
      <c r="CI3" s="28">
        <v>70.535700000000006</v>
      </c>
      <c r="CJ3" s="28">
        <v>66.200800000000001</v>
      </c>
      <c r="CK3" s="28">
        <v>57.945900000000002</v>
      </c>
      <c r="CL3" s="28">
        <v>49.535299999999999</v>
      </c>
      <c r="CM3" s="28">
        <v>38.972799999999999</v>
      </c>
      <c r="CN3" s="28">
        <v>28.965599999999998</v>
      </c>
      <c r="CO3" s="28">
        <v>26.34</v>
      </c>
      <c r="CP3" s="28">
        <v>22.823499999999999</v>
      </c>
      <c r="CQ3" s="28">
        <v>27.276599999999998</v>
      </c>
      <c r="CR3" s="28">
        <v>42.445099999999996</v>
      </c>
      <c r="CS3" s="28">
        <v>60.029899999999998</v>
      </c>
      <c r="CT3" s="28">
        <v>67.425600000000003</v>
      </c>
      <c r="CU3" s="28">
        <v>68.480099999999993</v>
      </c>
      <c r="CV3" s="28">
        <v>67.917299999999997</v>
      </c>
      <c r="CW3" s="28">
        <v>62.6937</v>
      </c>
      <c r="CX3" s="28">
        <v>48.743899999999996</v>
      </c>
      <c r="CY3" s="28">
        <v>38.118600000000001</v>
      </c>
      <c r="CZ3" s="28">
        <v>29.647500000000001</v>
      </c>
      <c r="DA3" s="28">
        <v>25.4605</v>
      </c>
      <c r="DB3" s="28">
        <v>22.3935</v>
      </c>
      <c r="DC3" s="28">
        <v>25.837499999999999</v>
      </c>
      <c r="DD3" s="28">
        <v>40.1023</v>
      </c>
      <c r="DE3" s="28">
        <v>57.234099999999998</v>
      </c>
      <c r="DF3" s="28">
        <v>68.427599999999998</v>
      </c>
      <c r="DG3" s="28">
        <v>71.875299999999996</v>
      </c>
      <c r="DH3" s="28">
        <v>69.669399999999996</v>
      </c>
      <c r="DI3" s="28">
        <v>63.409199999999998</v>
      </c>
      <c r="DJ3" s="28">
        <v>51.420999999999999</v>
      </c>
      <c r="DK3" s="28">
        <v>42.326099999999997</v>
      </c>
      <c r="DL3" s="28">
        <v>30.7636</v>
      </c>
      <c r="DM3" s="28">
        <v>24.0822</v>
      </c>
      <c r="DN3" s="28">
        <v>22.479199999999999</v>
      </c>
      <c r="DO3" s="28">
        <v>24.5867</v>
      </c>
      <c r="DP3" s="28">
        <v>42.673900000000003</v>
      </c>
      <c r="DQ3" s="28">
        <v>59.459200000000003</v>
      </c>
      <c r="DR3" s="28">
        <v>69.145499999999998</v>
      </c>
      <c r="DS3" s="28">
        <v>71.272900000000007</v>
      </c>
      <c r="DT3" s="28">
        <v>69.987300000000005</v>
      </c>
      <c r="DU3" s="28">
        <v>62.983899999999998</v>
      </c>
      <c r="DV3" s="32">
        <v>50.056399999999996</v>
      </c>
    </row>
    <row r="4" spans="1:126" ht="24.95" customHeight="1" x14ac:dyDescent="0.3">
      <c r="A4" s="37"/>
      <c r="B4" s="11" t="s">
        <v>7</v>
      </c>
      <c r="C4" s="28">
        <v>2.4232</v>
      </c>
      <c r="D4" s="28">
        <v>2.5937000000000001</v>
      </c>
      <c r="E4" s="28">
        <v>2.4453999999999998</v>
      </c>
      <c r="F4" s="28">
        <v>2.2723</v>
      </c>
      <c r="G4" s="28">
        <v>1.3534999999999999</v>
      </c>
      <c r="H4" s="28">
        <v>1.2158</v>
      </c>
      <c r="I4" s="28">
        <v>0.88400000000000001</v>
      </c>
      <c r="J4" s="28">
        <v>0.73260000000000003</v>
      </c>
      <c r="K4" s="28">
        <v>1.0463</v>
      </c>
      <c r="L4" s="28">
        <v>1.5631999999999999</v>
      </c>
      <c r="M4" s="28">
        <v>2.3302999999999998</v>
      </c>
      <c r="N4" s="28">
        <v>2.2846000000000002</v>
      </c>
      <c r="O4" s="28">
        <v>2.2791999999999999</v>
      </c>
      <c r="P4" s="28">
        <v>2.3645999999999998</v>
      </c>
      <c r="Q4" s="28">
        <v>2.2856000000000001</v>
      </c>
      <c r="R4" s="28">
        <v>2.12</v>
      </c>
      <c r="S4" s="28">
        <v>1.2873000000000001</v>
      </c>
      <c r="T4" s="28">
        <v>1.1359999999999999</v>
      </c>
      <c r="U4" s="28">
        <v>0.75339999999999996</v>
      </c>
      <c r="V4" s="28">
        <v>0.68210000000000004</v>
      </c>
      <c r="W4" s="28">
        <v>0.90869999999999995</v>
      </c>
      <c r="X4" s="28">
        <v>1.5928</v>
      </c>
      <c r="Y4" s="28">
        <v>2.2581000000000002</v>
      </c>
      <c r="Z4" s="28">
        <v>2.1425999999999998</v>
      </c>
      <c r="AA4" s="28">
        <v>1.9853000000000001</v>
      </c>
      <c r="AB4" s="28">
        <v>2.0348000000000002</v>
      </c>
      <c r="AC4" s="28">
        <v>2.1379000000000001</v>
      </c>
      <c r="AD4" s="28">
        <v>1.7681</v>
      </c>
      <c r="AE4" s="28">
        <v>1.1839</v>
      </c>
      <c r="AF4" s="28">
        <v>0.98199999999999998</v>
      </c>
      <c r="AG4" s="28">
        <v>0.65029999999999999</v>
      </c>
      <c r="AH4" s="28">
        <v>0.66930000000000001</v>
      </c>
      <c r="AI4" s="28">
        <v>0.9718</v>
      </c>
      <c r="AJ4" s="28">
        <v>1.6089</v>
      </c>
      <c r="AK4" s="28">
        <v>1.9621</v>
      </c>
      <c r="AL4" s="28">
        <v>1.8992</v>
      </c>
      <c r="AM4" s="28">
        <v>1.8579000000000001</v>
      </c>
      <c r="AN4" s="28">
        <v>1.9097999999999999</v>
      </c>
      <c r="AO4" s="28">
        <v>1.9373</v>
      </c>
      <c r="AP4" s="28">
        <v>1.7003999999999999</v>
      </c>
      <c r="AQ4" s="28">
        <v>1.1902999999999999</v>
      </c>
      <c r="AR4" s="28">
        <v>1.0578000000000001</v>
      </c>
      <c r="AS4" s="28">
        <v>0.74360000000000004</v>
      </c>
      <c r="AT4" s="28">
        <v>0.68779999999999997</v>
      </c>
      <c r="AU4" s="28">
        <v>0.91059999999999997</v>
      </c>
      <c r="AV4" s="28">
        <v>1.4748000000000001</v>
      </c>
      <c r="AW4" s="28">
        <v>1.8294999999999999</v>
      </c>
      <c r="AX4" s="28">
        <v>1.8886000000000001</v>
      </c>
      <c r="AY4" s="28">
        <v>1.8061</v>
      </c>
      <c r="AZ4" s="28">
        <v>1.7867999999999999</v>
      </c>
      <c r="BA4" s="28">
        <v>1.7498</v>
      </c>
      <c r="BB4" s="28">
        <v>1.5214000000000001</v>
      </c>
      <c r="BC4" s="28">
        <v>1.1852</v>
      </c>
      <c r="BD4" s="28">
        <v>1.0058</v>
      </c>
      <c r="BE4" s="28">
        <v>0.78949999999999998</v>
      </c>
      <c r="BF4" s="28">
        <v>0.74729999999999996</v>
      </c>
      <c r="BG4" s="28">
        <v>0.83309999999999995</v>
      </c>
      <c r="BH4" s="28">
        <v>1.4581999999999999</v>
      </c>
      <c r="BI4" s="28">
        <v>1.8229</v>
      </c>
      <c r="BJ4" s="28">
        <v>1.7373000000000001</v>
      </c>
      <c r="BK4" s="28">
        <v>1.7263999999999999</v>
      </c>
      <c r="BL4" s="28">
        <v>1.8086</v>
      </c>
      <c r="BM4" s="28">
        <v>1.8782000000000001</v>
      </c>
      <c r="BN4" s="28">
        <v>1.5729</v>
      </c>
      <c r="BO4" s="28">
        <v>1.1435</v>
      </c>
      <c r="BP4" s="28">
        <v>0.93220000000000003</v>
      </c>
      <c r="BQ4" s="28">
        <v>0.623</v>
      </c>
      <c r="BR4" s="28">
        <v>0.64810000000000001</v>
      </c>
      <c r="BS4" s="28">
        <v>0.80759999999999998</v>
      </c>
      <c r="BT4" s="28">
        <v>1.3394999999999999</v>
      </c>
      <c r="BU4" s="28">
        <v>1.6807000000000001</v>
      </c>
      <c r="BV4" s="28">
        <v>1.5656000000000001</v>
      </c>
      <c r="BW4" s="28">
        <v>1.5592999999999999</v>
      </c>
      <c r="BX4" s="28">
        <v>1.599</v>
      </c>
      <c r="BY4" s="28">
        <v>1.6871</v>
      </c>
      <c r="BZ4" s="28">
        <v>1.6044</v>
      </c>
      <c r="CA4" s="28">
        <v>0.89080000000000004</v>
      </c>
      <c r="CB4" s="28">
        <v>0.82050000000000001</v>
      </c>
      <c r="CC4" s="28">
        <v>0.53739999999999999</v>
      </c>
      <c r="CD4" s="28">
        <v>0.57230000000000003</v>
      </c>
      <c r="CE4" s="28">
        <v>0.75</v>
      </c>
      <c r="CF4" s="28">
        <v>1.3010999999999999</v>
      </c>
      <c r="CG4" s="28">
        <v>1.6256999999999999</v>
      </c>
      <c r="CH4" s="28">
        <v>1.4814000000000001</v>
      </c>
      <c r="CI4" s="28">
        <v>1.4592000000000001</v>
      </c>
      <c r="CJ4" s="28">
        <v>1.5062</v>
      </c>
      <c r="CK4" s="28">
        <v>1.64</v>
      </c>
      <c r="CL4" s="28">
        <v>1.3854</v>
      </c>
      <c r="CM4" s="28">
        <v>0.94810000000000005</v>
      </c>
      <c r="CN4" s="28">
        <v>0.7802</v>
      </c>
      <c r="CO4" s="28">
        <v>0.65200000000000002</v>
      </c>
      <c r="CP4" s="28">
        <v>0.57389999999999997</v>
      </c>
      <c r="CQ4" s="28">
        <v>0.69340000000000002</v>
      </c>
      <c r="CR4" s="28">
        <v>1.1812</v>
      </c>
      <c r="CS4" s="28">
        <v>1.4584999999999999</v>
      </c>
      <c r="CT4" s="28">
        <v>1.4953000000000001</v>
      </c>
      <c r="CU4" s="28">
        <v>1.4661999999999999</v>
      </c>
      <c r="CV4" s="28">
        <v>1.5109999999999999</v>
      </c>
      <c r="CW4" s="28">
        <v>1.5709</v>
      </c>
      <c r="CX4" s="28">
        <v>1.3388</v>
      </c>
      <c r="CY4" s="28">
        <v>0.96150000000000002</v>
      </c>
      <c r="CZ4" s="28">
        <v>0.83620000000000005</v>
      </c>
      <c r="DA4" s="28">
        <v>0.63</v>
      </c>
      <c r="DB4" s="28">
        <v>0.59689999999999999</v>
      </c>
      <c r="DC4" s="28">
        <v>0.76839999999999997</v>
      </c>
      <c r="DD4" s="28">
        <v>1.1137999999999999</v>
      </c>
      <c r="DE4" s="28">
        <v>1.5256000000000001</v>
      </c>
      <c r="DF4" s="28">
        <v>1.5423</v>
      </c>
      <c r="DG4" s="28">
        <v>1.5185</v>
      </c>
      <c r="DH4" s="28">
        <v>1.4665999999999999</v>
      </c>
      <c r="DI4" s="28">
        <v>1.6354</v>
      </c>
      <c r="DJ4" s="28">
        <v>1.4081999999999999</v>
      </c>
      <c r="DK4" s="28">
        <v>0.96609999999999996</v>
      </c>
      <c r="DL4" s="28">
        <v>0.81620000000000004</v>
      </c>
      <c r="DM4" s="28">
        <v>0.59609999999999996</v>
      </c>
      <c r="DN4" s="28">
        <v>0.50629999999999997</v>
      </c>
      <c r="DO4" s="28">
        <v>0.63149999999999995</v>
      </c>
      <c r="DP4" s="28">
        <v>1.1624000000000001</v>
      </c>
      <c r="DQ4" s="28">
        <v>1.389</v>
      </c>
      <c r="DR4" s="28">
        <v>1.3693</v>
      </c>
      <c r="DS4" s="28">
        <v>1.2746</v>
      </c>
      <c r="DT4" s="28">
        <v>1.3916999999999999</v>
      </c>
      <c r="DU4" s="28">
        <v>1.4657</v>
      </c>
      <c r="DV4" s="32">
        <v>1.1999</v>
      </c>
    </row>
    <row r="5" spans="1:126" ht="24.95" customHeight="1" x14ac:dyDescent="0.3">
      <c r="A5" s="38"/>
      <c r="B5" s="12" t="s">
        <v>8</v>
      </c>
      <c r="C5" s="30">
        <v>1.3266</v>
      </c>
      <c r="D5" s="30">
        <v>1.3144</v>
      </c>
      <c r="E5" s="30">
        <v>1.0301</v>
      </c>
      <c r="F5" s="30">
        <v>0.66739999999999999</v>
      </c>
      <c r="G5" s="30">
        <v>0.2737</v>
      </c>
      <c r="H5" s="30">
        <v>0.1701</v>
      </c>
      <c r="I5" s="30">
        <v>0.11600000000000001</v>
      </c>
      <c r="J5" s="30">
        <v>0.10390000000000001</v>
      </c>
      <c r="K5" s="30">
        <v>0.16589999999999999</v>
      </c>
      <c r="L5" s="30">
        <v>0.39129999999999998</v>
      </c>
      <c r="M5" s="30">
        <v>0.94620000000000004</v>
      </c>
      <c r="N5" s="30">
        <v>1.1801999999999999</v>
      </c>
      <c r="O5" s="30">
        <v>1.3043</v>
      </c>
      <c r="P5" s="30">
        <v>1.2653000000000001</v>
      </c>
      <c r="Q5" s="30">
        <v>1.0454000000000001</v>
      </c>
      <c r="R5" s="30">
        <v>0.6925</v>
      </c>
      <c r="S5" s="30">
        <v>0.311</v>
      </c>
      <c r="T5" s="30">
        <v>0.20100000000000001</v>
      </c>
      <c r="U5" s="30">
        <v>0.1419</v>
      </c>
      <c r="V5" s="30">
        <v>0.12820000000000001</v>
      </c>
      <c r="W5" s="30">
        <v>0.15759999999999999</v>
      </c>
      <c r="X5" s="30">
        <v>0.41959999999999997</v>
      </c>
      <c r="Y5" s="30">
        <v>0.91100000000000003</v>
      </c>
      <c r="Z5" s="30">
        <v>1.1968000000000001</v>
      </c>
      <c r="AA5" s="30">
        <v>1.2042999999999999</v>
      </c>
      <c r="AB5" s="30">
        <v>1.2131000000000001</v>
      </c>
      <c r="AC5" s="30">
        <v>0.97150000000000003</v>
      </c>
      <c r="AD5" s="30">
        <v>0.59470000000000001</v>
      </c>
      <c r="AE5" s="30">
        <v>0.27139999999999997</v>
      </c>
      <c r="AF5" s="30">
        <v>0.15029999999999999</v>
      </c>
      <c r="AG5" s="30">
        <v>0.12529999999999999</v>
      </c>
      <c r="AH5" s="30">
        <v>9.4E-2</v>
      </c>
      <c r="AI5" s="30">
        <v>0.18340000000000001</v>
      </c>
      <c r="AJ5" s="30">
        <v>0.48749999999999999</v>
      </c>
      <c r="AK5" s="30">
        <v>0.87870000000000004</v>
      </c>
      <c r="AL5" s="30">
        <v>1.1212</v>
      </c>
      <c r="AM5" s="30">
        <v>1.1740999999999999</v>
      </c>
      <c r="AN5" s="30">
        <v>1.1876</v>
      </c>
      <c r="AO5" s="30">
        <v>0.90669999999999995</v>
      </c>
      <c r="AP5" s="30">
        <v>0.70760000000000001</v>
      </c>
      <c r="AQ5" s="30">
        <v>0.28310000000000002</v>
      </c>
      <c r="AR5" s="30">
        <v>0.19400000000000001</v>
      </c>
      <c r="AS5" s="30">
        <v>0.1636</v>
      </c>
      <c r="AT5" s="30">
        <v>0.13489999999999999</v>
      </c>
      <c r="AU5" s="30">
        <v>0.16070000000000001</v>
      </c>
      <c r="AV5" s="30">
        <v>0.39200000000000002</v>
      </c>
      <c r="AW5" s="30">
        <v>0.75249999999999995</v>
      </c>
      <c r="AX5" s="30">
        <v>1.0012000000000001</v>
      </c>
      <c r="AY5" s="30">
        <v>1.0143</v>
      </c>
      <c r="AZ5" s="30">
        <v>0.9718</v>
      </c>
      <c r="BA5" s="30">
        <v>0.86980000000000002</v>
      </c>
      <c r="BB5" s="30">
        <v>0.71389999999999998</v>
      </c>
      <c r="BC5" s="30">
        <v>0.30890000000000001</v>
      </c>
      <c r="BD5" s="30">
        <v>0.1182</v>
      </c>
      <c r="BE5" s="30">
        <v>9.7500000000000003E-2</v>
      </c>
      <c r="BF5" s="30">
        <v>9.1800000000000007E-2</v>
      </c>
      <c r="BG5" s="30">
        <v>0.1069</v>
      </c>
      <c r="BH5" s="30">
        <v>0.38740000000000002</v>
      </c>
      <c r="BI5" s="30">
        <v>0.72640000000000005</v>
      </c>
      <c r="BJ5" s="30">
        <v>0.96089999999999998</v>
      </c>
      <c r="BK5" s="30">
        <v>1.0423</v>
      </c>
      <c r="BL5" s="30">
        <v>0.93789999999999996</v>
      </c>
      <c r="BM5" s="30">
        <v>0.77949999999999997</v>
      </c>
      <c r="BN5" s="30">
        <v>0.50890000000000002</v>
      </c>
      <c r="BO5" s="30">
        <v>0.33829999999999999</v>
      </c>
      <c r="BP5" s="30">
        <v>0.18340000000000001</v>
      </c>
      <c r="BQ5" s="30">
        <v>0.1105</v>
      </c>
      <c r="BR5" s="30">
        <v>8.8200000000000001E-2</v>
      </c>
      <c r="BS5" s="30">
        <v>0.10730000000000001</v>
      </c>
      <c r="BT5" s="30">
        <v>0.36180000000000001</v>
      </c>
      <c r="BU5" s="30">
        <v>0.7621</v>
      </c>
      <c r="BV5" s="30">
        <v>0.98570000000000002</v>
      </c>
      <c r="BW5" s="30">
        <v>1.0761000000000001</v>
      </c>
      <c r="BX5" s="30">
        <v>1.0546</v>
      </c>
      <c r="BY5" s="30">
        <v>0.89639999999999997</v>
      </c>
      <c r="BZ5" s="30">
        <v>0.6341</v>
      </c>
      <c r="CA5" s="30">
        <v>0.35349999999999998</v>
      </c>
      <c r="CB5" s="30">
        <v>0.2051</v>
      </c>
      <c r="CC5" s="30">
        <v>0.1099</v>
      </c>
      <c r="CD5" s="30">
        <v>8.43E-2</v>
      </c>
      <c r="CE5" s="30">
        <v>0.26300000000000001</v>
      </c>
      <c r="CF5" s="30">
        <v>0.64800000000000002</v>
      </c>
      <c r="CG5" s="30">
        <v>0.88190000000000002</v>
      </c>
      <c r="CH5" s="30">
        <v>1.1361000000000001</v>
      </c>
      <c r="CI5" s="30">
        <v>1.1513</v>
      </c>
      <c r="CJ5" s="30">
        <v>1.0839000000000001</v>
      </c>
      <c r="CK5" s="30">
        <v>0.90339999999999998</v>
      </c>
      <c r="CL5" s="30">
        <v>0.61970000000000003</v>
      </c>
      <c r="CM5" s="30">
        <v>0.3392</v>
      </c>
      <c r="CN5" s="30">
        <v>0.1827</v>
      </c>
      <c r="CO5" s="30">
        <v>0.17319999999999999</v>
      </c>
      <c r="CP5" s="30">
        <v>0.1245</v>
      </c>
      <c r="CQ5" s="30">
        <v>0.1862</v>
      </c>
      <c r="CR5" s="30">
        <v>0.42780000000000001</v>
      </c>
      <c r="CS5" s="30">
        <v>0.77500000000000002</v>
      </c>
      <c r="CT5" s="30">
        <v>0.9889</v>
      </c>
      <c r="CU5" s="30">
        <v>1.0327999999999999</v>
      </c>
      <c r="CV5" s="30">
        <v>0.95930000000000004</v>
      </c>
      <c r="CW5" s="30">
        <v>0.92579999999999996</v>
      </c>
      <c r="CX5" s="30">
        <v>0.5776</v>
      </c>
      <c r="CY5" s="30">
        <v>0.34449999999999997</v>
      </c>
      <c r="CZ5" s="30">
        <v>0.2387</v>
      </c>
      <c r="DA5" s="30">
        <v>0.1918</v>
      </c>
      <c r="DB5" s="30">
        <v>0.14680000000000001</v>
      </c>
      <c r="DC5" s="30">
        <v>0.2175</v>
      </c>
      <c r="DD5" s="30">
        <v>0.44119999999999998</v>
      </c>
      <c r="DE5" s="30">
        <v>0.76070000000000004</v>
      </c>
      <c r="DF5" s="30">
        <v>0.99050000000000005</v>
      </c>
      <c r="DG5" s="34">
        <v>1.0144</v>
      </c>
      <c r="DH5" s="30">
        <v>1.0196000000000001</v>
      </c>
      <c r="DI5" s="30">
        <v>0.83960000000000001</v>
      </c>
      <c r="DJ5" s="30">
        <v>0.56740000000000002</v>
      </c>
      <c r="DK5" s="30">
        <v>0.39190000000000003</v>
      </c>
      <c r="DL5" s="30">
        <v>0.3402</v>
      </c>
      <c r="DM5" s="30">
        <v>0.18149999999999999</v>
      </c>
      <c r="DN5" s="30">
        <v>0.187</v>
      </c>
      <c r="DO5" s="30">
        <v>0.223</v>
      </c>
      <c r="DP5" s="30">
        <v>0.47510000000000002</v>
      </c>
      <c r="DQ5" s="30">
        <v>0.77239999999999998</v>
      </c>
      <c r="DR5" s="30">
        <v>0.94259999999999999</v>
      </c>
      <c r="DS5" s="30">
        <v>1.0250999999999999</v>
      </c>
      <c r="DT5" s="30">
        <v>0.98340000000000005</v>
      </c>
      <c r="DU5" s="30">
        <v>0.83499999999999996</v>
      </c>
      <c r="DV5" s="33">
        <v>0.55200000000000005</v>
      </c>
    </row>
    <row r="6" spans="1:126" ht="35.1" customHeight="1" x14ac:dyDescent="0.3">
      <c r="A6" s="39" t="s">
        <v>2</v>
      </c>
      <c r="B6" s="40"/>
      <c r="C6" s="5">
        <f t="shared" ref="C6:BN6" si="0">SUM(C2:C5)</f>
        <v>66.010199999999998</v>
      </c>
      <c r="D6" s="5">
        <f t="shared" si="0"/>
        <v>65.517700000000005</v>
      </c>
      <c r="E6" s="5">
        <f t="shared" si="0"/>
        <v>58.152899999999995</v>
      </c>
      <c r="F6" s="5">
        <f t="shared" si="0"/>
        <v>48.895400000000002</v>
      </c>
      <c r="G6" s="5">
        <f t="shared" si="0"/>
        <v>35.615999999999993</v>
      </c>
      <c r="H6" s="5">
        <f t="shared" si="0"/>
        <v>28.139600000000005</v>
      </c>
      <c r="I6" s="5">
        <f t="shared" si="0"/>
        <v>24.549700000000001</v>
      </c>
      <c r="J6" s="5">
        <f t="shared" si="0"/>
        <v>21.0623</v>
      </c>
      <c r="K6" s="5">
        <f t="shared" si="0"/>
        <v>28.603400000000001</v>
      </c>
      <c r="L6" s="5">
        <f t="shared" si="0"/>
        <v>41.539000000000001</v>
      </c>
      <c r="M6" s="5">
        <f t="shared" si="0"/>
        <v>56.200599999999994</v>
      </c>
      <c r="N6" s="5">
        <f t="shared" si="0"/>
        <v>63.442999999999991</v>
      </c>
      <c r="O6" s="5">
        <f t="shared" si="0"/>
        <v>68.093900000000005</v>
      </c>
      <c r="P6" s="5">
        <f t="shared" si="0"/>
        <v>65.172300000000007</v>
      </c>
      <c r="Q6" s="5">
        <f t="shared" si="0"/>
        <v>60.169200000000004</v>
      </c>
      <c r="R6" s="5">
        <f t="shared" si="0"/>
        <v>48.706900000000005</v>
      </c>
      <c r="S6" s="5">
        <f t="shared" si="0"/>
        <v>35.212600000000002</v>
      </c>
      <c r="T6" s="5">
        <f t="shared" si="0"/>
        <v>28.474399999999999</v>
      </c>
      <c r="U6" s="5">
        <f t="shared" si="0"/>
        <v>22.765099999999997</v>
      </c>
      <c r="V6" s="5">
        <f t="shared" si="0"/>
        <v>21.912299999999998</v>
      </c>
      <c r="W6" s="5">
        <f t="shared" si="0"/>
        <v>25.195199999999996</v>
      </c>
      <c r="X6" s="5">
        <f t="shared" si="0"/>
        <v>45.559800000000003</v>
      </c>
      <c r="Y6" s="5">
        <f t="shared" si="0"/>
        <v>59.919899999999998</v>
      </c>
      <c r="Z6" s="5">
        <f t="shared" si="0"/>
        <v>67.423199999999994</v>
      </c>
      <c r="AA6" s="5">
        <f t="shared" si="0"/>
        <v>68.769199999999998</v>
      </c>
      <c r="AB6" s="5">
        <f t="shared" si="0"/>
        <v>69.336600000000004</v>
      </c>
      <c r="AC6" s="5">
        <f t="shared" si="0"/>
        <v>60.781500000000001</v>
      </c>
      <c r="AD6" s="5">
        <f t="shared" si="0"/>
        <v>49.880800000000001</v>
      </c>
      <c r="AE6" s="5">
        <f t="shared" si="0"/>
        <v>38.1785</v>
      </c>
      <c r="AF6" s="5">
        <f t="shared" si="0"/>
        <v>28.4023</v>
      </c>
      <c r="AG6" s="5">
        <f t="shared" si="0"/>
        <v>23.743500000000001</v>
      </c>
      <c r="AH6" s="5">
        <f t="shared" si="0"/>
        <v>20.783100000000001</v>
      </c>
      <c r="AI6" s="5">
        <f t="shared" si="0"/>
        <v>30.514600000000002</v>
      </c>
      <c r="AJ6" s="5">
        <f t="shared" si="0"/>
        <v>47.574799999999996</v>
      </c>
      <c r="AK6" s="5">
        <f t="shared" si="0"/>
        <v>59.3401</v>
      </c>
      <c r="AL6" s="5">
        <f t="shared" si="0"/>
        <v>68.086399999999998</v>
      </c>
      <c r="AM6" s="5">
        <f t="shared" si="0"/>
        <v>68.523799999999994</v>
      </c>
      <c r="AN6" s="5">
        <f t="shared" si="0"/>
        <v>69.558700000000016</v>
      </c>
      <c r="AO6" s="5">
        <f t="shared" si="0"/>
        <v>61.284700000000001</v>
      </c>
      <c r="AP6" s="5">
        <f t="shared" si="0"/>
        <v>53.034700000000001</v>
      </c>
      <c r="AQ6" s="5">
        <f t="shared" si="0"/>
        <v>36.4694</v>
      </c>
      <c r="AR6" s="5">
        <f t="shared" si="0"/>
        <v>30.934799999999999</v>
      </c>
      <c r="AS6" s="5">
        <f t="shared" si="0"/>
        <v>26.588999999999999</v>
      </c>
      <c r="AT6" s="5">
        <f t="shared" si="0"/>
        <v>23.443999999999996</v>
      </c>
      <c r="AU6" s="5">
        <f t="shared" si="0"/>
        <v>29.171799999999998</v>
      </c>
      <c r="AV6" s="5">
        <f t="shared" si="0"/>
        <v>42.101000000000006</v>
      </c>
      <c r="AW6" s="5">
        <f t="shared" si="0"/>
        <v>58.039000000000001</v>
      </c>
      <c r="AX6" s="5">
        <f t="shared" si="0"/>
        <v>67.482899999999987</v>
      </c>
      <c r="AY6" s="5">
        <f t="shared" si="0"/>
        <v>69.035600000000002</v>
      </c>
      <c r="AZ6" s="5">
        <f t="shared" si="0"/>
        <v>67.985299999999995</v>
      </c>
      <c r="BA6" s="5">
        <f t="shared" si="0"/>
        <v>64.430700000000002</v>
      </c>
      <c r="BB6" s="5">
        <f t="shared" si="0"/>
        <v>61.064500000000002</v>
      </c>
      <c r="BC6" s="5">
        <f t="shared" si="0"/>
        <v>45.300100000000008</v>
      </c>
      <c r="BD6" s="5">
        <f t="shared" si="0"/>
        <v>33.701100000000004</v>
      </c>
      <c r="BE6" s="5">
        <f t="shared" si="0"/>
        <v>32.551199999999994</v>
      </c>
      <c r="BF6" s="5">
        <f t="shared" si="0"/>
        <v>28.750799999999998</v>
      </c>
      <c r="BG6" s="5">
        <f t="shared" si="0"/>
        <v>32.991700000000002</v>
      </c>
      <c r="BH6" s="5">
        <f t="shared" si="0"/>
        <v>49.059600000000003</v>
      </c>
      <c r="BI6" s="5">
        <f t="shared" si="0"/>
        <v>61.231899999999996</v>
      </c>
      <c r="BJ6" s="5">
        <f t="shared" si="0"/>
        <v>70.236199999999997</v>
      </c>
      <c r="BK6" s="5">
        <f t="shared" si="0"/>
        <v>72.282199999999989</v>
      </c>
      <c r="BL6" s="5">
        <f t="shared" si="0"/>
        <v>70.2303</v>
      </c>
      <c r="BM6" s="5">
        <f t="shared" si="0"/>
        <v>63.214100000000002</v>
      </c>
      <c r="BN6" s="5">
        <f t="shared" si="0"/>
        <v>53.678799999999995</v>
      </c>
      <c r="BO6" s="5">
        <f t="shared" ref="BO6:DV6" si="1">SUM(BO2:BO5)</f>
        <v>43.132400000000004</v>
      </c>
      <c r="BP6" s="5">
        <f t="shared" si="1"/>
        <v>32.672699999999999</v>
      </c>
      <c r="BQ6" s="5">
        <f t="shared" si="1"/>
        <v>26.791899999999998</v>
      </c>
      <c r="BR6" s="5">
        <f t="shared" si="1"/>
        <v>26.936599999999999</v>
      </c>
      <c r="BS6" s="5">
        <f t="shared" si="1"/>
        <v>31.9572</v>
      </c>
      <c r="BT6" s="5">
        <f t="shared" si="1"/>
        <v>46.566200000000002</v>
      </c>
      <c r="BU6" s="5">
        <f t="shared" si="1"/>
        <v>62.456099999999992</v>
      </c>
      <c r="BV6" s="5">
        <f t="shared" si="1"/>
        <v>69.5702</v>
      </c>
      <c r="BW6" s="5">
        <f t="shared" si="1"/>
        <v>72.357199999999992</v>
      </c>
      <c r="BX6" s="5">
        <f t="shared" si="1"/>
        <v>72.740499999999997</v>
      </c>
      <c r="BY6" s="5">
        <f t="shared" si="1"/>
        <v>64.68610000000001</v>
      </c>
      <c r="BZ6" s="5">
        <f t="shared" si="1"/>
        <v>52.538599999999995</v>
      </c>
      <c r="CA6" s="5">
        <f t="shared" si="1"/>
        <v>39.443599999999996</v>
      </c>
      <c r="CB6" s="5">
        <f t="shared" si="1"/>
        <v>30.555700000000002</v>
      </c>
      <c r="CC6" s="5">
        <f t="shared" si="1"/>
        <v>23.003500000000003</v>
      </c>
      <c r="CD6" s="5">
        <f t="shared" si="1"/>
        <v>23.836199999999998</v>
      </c>
      <c r="CE6" s="5">
        <f t="shared" si="1"/>
        <v>31.5641</v>
      </c>
      <c r="CF6" s="5">
        <f t="shared" si="1"/>
        <v>48.602900000000005</v>
      </c>
      <c r="CG6" s="5">
        <f t="shared" si="1"/>
        <v>60.963400000000007</v>
      </c>
      <c r="CH6" s="5">
        <f t="shared" si="1"/>
        <v>71.815499999999986</v>
      </c>
      <c r="CI6" s="5">
        <f t="shared" si="1"/>
        <v>73.502600000000001</v>
      </c>
      <c r="CJ6" s="5">
        <f t="shared" si="1"/>
        <v>69.222100000000012</v>
      </c>
      <c r="CK6" s="5">
        <f t="shared" si="1"/>
        <v>61.0291</v>
      </c>
      <c r="CL6" s="5">
        <f t="shared" si="1"/>
        <v>52.2804</v>
      </c>
      <c r="CM6" s="5">
        <f t="shared" si="1"/>
        <v>41.126899999999992</v>
      </c>
      <c r="CN6" s="5">
        <f t="shared" si="1"/>
        <v>30.9406</v>
      </c>
      <c r="CO6" s="5">
        <f t="shared" si="1"/>
        <v>28.226900000000001</v>
      </c>
      <c r="CP6" s="5">
        <f t="shared" si="1"/>
        <v>24.640699999999999</v>
      </c>
      <c r="CQ6" s="5">
        <f t="shared" si="1"/>
        <v>29.2669</v>
      </c>
      <c r="CR6" s="5">
        <f t="shared" si="1"/>
        <v>44.942999999999991</v>
      </c>
      <c r="CS6" s="5">
        <f t="shared" si="1"/>
        <v>62.7654</v>
      </c>
      <c r="CT6" s="5">
        <f t="shared" si="1"/>
        <v>70.2761</v>
      </c>
      <c r="CU6" s="5">
        <f t="shared" si="1"/>
        <v>71.314199999999985</v>
      </c>
      <c r="CV6" s="5">
        <f t="shared" si="1"/>
        <v>70.795099999999991</v>
      </c>
      <c r="CW6" s="5">
        <f t="shared" si="1"/>
        <v>65.619699999999995</v>
      </c>
      <c r="CX6" s="5">
        <f t="shared" si="1"/>
        <v>51.360899999999994</v>
      </c>
      <c r="CY6" s="5">
        <f t="shared" si="1"/>
        <v>40.235999999999997</v>
      </c>
      <c r="CZ6" s="5">
        <f t="shared" si="1"/>
        <v>31.654900000000005</v>
      </c>
      <c r="DA6" s="5">
        <f t="shared" si="1"/>
        <v>27.210899999999999</v>
      </c>
      <c r="DB6" s="5">
        <f t="shared" si="1"/>
        <v>24.161000000000001</v>
      </c>
      <c r="DC6" s="5">
        <f t="shared" si="1"/>
        <v>27.861899999999999</v>
      </c>
      <c r="DD6" s="5">
        <f t="shared" si="1"/>
        <v>42.5122</v>
      </c>
      <c r="DE6" s="5">
        <f t="shared" si="1"/>
        <v>60.062399999999997</v>
      </c>
      <c r="DF6" s="5">
        <f t="shared" si="1"/>
        <v>71.308299999999988</v>
      </c>
      <c r="DG6" s="5">
        <f t="shared" si="1"/>
        <v>74.733599999999996</v>
      </c>
      <c r="DH6" s="5">
        <f t="shared" si="1"/>
        <v>72.493099999999998</v>
      </c>
      <c r="DI6" s="5">
        <f t="shared" si="1"/>
        <v>66.297899999999998</v>
      </c>
      <c r="DJ6" s="5">
        <f t="shared" si="1"/>
        <v>54.04</v>
      </c>
      <c r="DK6" s="5">
        <f t="shared" si="1"/>
        <v>44.463299999999997</v>
      </c>
      <c r="DL6" s="5">
        <f t="shared" si="1"/>
        <v>32.851600000000005</v>
      </c>
      <c r="DM6" s="5">
        <f t="shared" si="1"/>
        <v>25.781199999999998</v>
      </c>
      <c r="DN6" s="5">
        <f t="shared" si="1"/>
        <v>24.165800000000001</v>
      </c>
      <c r="DO6" s="5">
        <f t="shared" si="1"/>
        <v>26.363099999999999</v>
      </c>
      <c r="DP6" s="5">
        <f t="shared" si="1"/>
        <v>45.139499999999998</v>
      </c>
      <c r="DQ6" s="5">
        <f t="shared" si="1"/>
        <v>62.104600000000005</v>
      </c>
      <c r="DR6" s="5">
        <f t="shared" si="1"/>
        <v>71.785799999999995</v>
      </c>
      <c r="DS6" s="5">
        <f t="shared" si="1"/>
        <v>73.850800000000007</v>
      </c>
      <c r="DT6" s="5">
        <f t="shared" si="1"/>
        <v>72.715900000000005</v>
      </c>
      <c r="DU6" s="5">
        <f t="shared" si="1"/>
        <v>65.685599999999994</v>
      </c>
      <c r="DV6" s="6">
        <f t="shared" si="1"/>
        <v>52.434599999999996</v>
      </c>
    </row>
    <row r="7" spans="1:126" ht="24.95" customHeight="1" x14ac:dyDescent="0.3">
      <c r="A7" s="41" t="s">
        <v>3</v>
      </c>
      <c r="B7" s="13" t="s">
        <v>9</v>
      </c>
      <c r="C7" s="29">
        <v>5.9527999999999999</v>
      </c>
      <c r="D7" s="29">
        <v>6.4157999999999999</v>
      </c>
      <c r="E7" s="29">
        <v>7.3822999999999999</v>
      </c>
      <c r="F7" s="29">
        <v>8.8270999999999997</v>
      </c>
      <c r="G7" s="29">
        <v>9.6713000000000005</v>
      </c>
      <c r="H7" s="29">
        <v>9.8562999999999992</v>
      </c>
      <c r="I7" s="29">
        <v>9.1084999999999994</v>
      </c>
      <c r="J7" s="29">
        <v>9.3785000000000007</v>
      </c>
      <c r="K7" s="29">
        <v>9.4613999999999994</v>
      </c>
      <c r="L7" s="29">
        <v>8.8226999999999993</v>
      </c>
      <c r="M7" s="29">
        <v>7.0590999999999999</v>
      </c>
      <c r="N7" s="29">
        <v>6.4816000000000003</v>
      </c>
      <c r="O7" s="29">
        <v>5.8886000000000003</v>
      </c>
      <c r="P7" s="29">
        <v>6.2619999999999996</v>
      </c>
      <c r="Q7" s="29">
        <v>7.1624999999999996</v>
      </c>
      <c r="R7" s="29">
        <v>8.6234999999999999</v>
      </c>
      <c r="S7" s="29">
        <v>9.8756000000000004</v>
      </c>
      <c r="T7" s="29">
        <v>10.061299999999999</v>
      </c>
      <c r="U7" s="29">
        <v>9.2759999999999998</v>
      </c>
      <c r="V7" s="29">
        <v>9.3770000000000007</v>
      </c>
      <c r="W7" s="29">
        <v>9.4524000000000008</v>
      </c>
      <c r="X7" s="29">
        <v>8.9689999999999994</v>
      </c>
      <c r="Y7" s="29">
        <v>6.8135000000000003</v>
      </c>
      <c r="Z7" s="29">
        <v>5.9858000000000002</v>
      </c>
      <c r="AA7" s="29">
        <v>5.5384000000000002</v>
      </c>
      <c r="AB7" s="29">
        <v>5.7587999999999999</v>
      </c>
      <c r="AC7" s="29">
        <v>7.0761000000000003</v>
      </c>
      <c r="AD7" s="29">
        <v>8.3690999999999995</v>
      </c>
      <c r="AE7" s="29">
        <v>9.6524999999999999</v>
      </c>
      <c r="AF7" s="29">
        <v>10.0464</v>
      </c>
      <c r="AG7" s="29">
        <v>9.5566999999999993</v>
      </c>
      <c r="AH7" s="29">
        <v>9.6280999999999999</v>
      </c>
      <c r="AI7" s="29">
        <v>9.4506999999999994</v>
      </c>
      <c r="AJ7" s="29">
        <v>8.4194999999999993</v>
      </c>
      <c r="AK7" s="29">
        <v>6.9619999999999997</v>
      </c>
      <c r="AL7" s="29">
        <v>5.8617999999999997</v>
      </c>
      <c r="AM7" s="29">
        <v>5.6257000000000001</v>
      </c>
      <c r="AN7" s="29">
        <v>5.9405000000000001</v>
      </c>
      <c r="AO7" s="29">
        <v>7.3277000000000001</v>
      </c>
      <c r="AP7" s="29">
        <v>8.0231999999999992</v>
      </c>
      <c r="AQ7" s="29">
        <v>9.7759</v>
      </c>
      <c r="AR7" s="29">
        <v>10.145899999999999</v>
      </c>
      <c r="AS7" s="29">
        <v>9.4877000000000002</v>
      </c>
      <c r="AT7" s="29">
        <v>9.7156000000000002</v>
      </c>
      <c r="AU7" s="29">
        <v>9.8361000000000001</v>
      </c>
      <c r="AV7" s="29">
        <v>9.0388999999999999</v>
      </c>
      <c r="AW7" s="29">
        <v>7.0114999999999998</v>
      </c>
      <c r="AX7" s="29">
        <v>5.9621000000000004</v>
      </c>
      <c r="AY7" s="29">
        <v>5.5587</v>
      </c>
      <c r="AZ7" s="29">
        <v>4.9116999999999997</v>
      </c>
      <c r="BA7" s="29">
        <v>4.4038000000000004</v>
      </c>
      <c r="BB7" s="29">
        <v>5.5471000000000004</v>
      </c>
      <c r="BC7" s="29">
        <v>8.5518999999999998</v>
      </c>
      <c r="BD7" s="29">
        <v>9.8964999999999996</v>
      </c>
      <c r="BE7" s="29">
        <v>9.4894999999999996</v>
      </c>
      <c r="BF7" s="29">
        <v>9.5884</v>
      </c>
      <c r="BG7" s="29">
        <v>9.1058000000000003</v>
      </c>
      <c r="BH7" s="29">
        <v>8.3703000000000003</v>
      </c>
      <c r="BI7" s="29">
        <v>6.5846</v>
      </c>
      <c r="BJ7" s="29">
        <v>4.7938000000000001</v>
      </c>
      <c r="BK7" s="29">
        <v>4.3746999999999998</v>
      </c>
      <c r="BL7" s="29">
        <v>5.0190000000000001</v>
      </c>
      <c r="BM7" s="29">
        <v>6.3493000000000004</v>
      </c>
      <c r="BN7" s="29">
        <v>7.4131</v>
      </c>
      <c r="BO7" s="29">
        <v>8.9003999999999994</v>
      </c>
      <c r="BP7" s="29">
        <v>9.2832000000000008</v>
      </c>
      <c r="BQ7" s="29">
        <v>8.6213999999999995</v>
      </c>
      <c r="BR7" s="29">
        <v>9.0756999999999994</v>
      </c>
      <c r="BS7" s="29">
        <v>9.3840000000000003</v>
      </c>
      <c r="BT7" s="29">
        <v>7.8311999999999999</v>
      </c>
      <c r="BU7" s="29">
        <v>6.2807000000000004</v>
      </c>
      <c r="BV7" s="29">
        <v>5.0320999999999998</v>
      </c>
      <c r="BW7" s="29">
        <v>4.4808000000000003</v>
      </c>
      <c r="BX7" s="29">
        <v>4.4907000000000004</v>
      </c>
      <c r="BY7" s="29">
        <v>5.9009999999999998</v>
      </c>
      <c r="BZ7" s="29">
        <v>8.0936000000000003</v>
      </c>
      <c r="CA7" s="29">
        <v>9.7771000000000008</v>
      </c>
      <c r="CB7" s="29">
        <v>10.0816</v>
      </c>
      <c r="CC7" s="29">
        <v>9.7461000000000002</v>
      </c>
      <c r="CD7" s="29">
        <v>10.103199999999999</v>
      </c>
      <c r="CE7" s="29">
        <v>10.158300000000001</v>
      </c>
      <c r="CF7" s="29">
        <v>8.9847999999999999</v>
      </c>
      <c r="CG7" s="29">
        <v>7.5488</v>
      </c>
      <c r="CH7" s="29">
        <v>5.2032999999999996</v>
      </c>
      <c r="CI7" s="29">
        <v>5.0876999999999999</v>
      </c>
      <c r="CJ7" s="29">
        <v>5.7431000000000001</v>
      </c>
      <c r="CK7" s="29">
        <v>8.0551999999999992</v>
      </c>
      <c r="CL7" s="29">
        <v>9.5951000000000004</v>
      </c>
      <c r="CM7" s="29">
        <v>10.817500000000001</v>
      </c>
      <c r="CN7" s="29">
        <v>11.2247</v>
      </c>
      <c r="CO7" s="29">
        <v>11.085599999999999</v>
      </c>
      <c r="CP7" s="29">
        <v>11.033200000000001</v>
      </c>
      <c r="CQ7" s="29">
        <v>11.35</v>
      </c>
      <c r="CR7" s="29">
        <v>10.4404</v>
      </c>
      <c r="CS7" s="29">
        <v>7.0206999999999997</v>
      </c>
      <c r="CT7" s="29">
        <v>5.7805</v>
      </c>
      <c r="CU7" s="29">
        <v>5.4454000000000002</v>
      </c>
      <c r="CV7" s="29">
        <v>5.8935000000000004</v>
      </c>
      <c r="CW7" s="29">
        <v>6.8598999999999997</v>
      </c>
      <c r="CX7" s="29">
        <v>9.9271999999999991</v>
      </c>
      <c r="CY7" s="29">
        <v>11.1243</v>
      </c>
      <c r="CZ7" s="29">
        <v>11.4062</v>
      </c>
      <c r="DA7" s="29">
        <v>11.148099999999999</v>
      </c>
      <c r="DB7" s="29">
        <v>11.308400000000001</v>
      </c>
      <c r="DC7" s="29">
        <v>11.9361</v>
      </c>
      <c r="DD7" s="29">
        <v>10.7821</v>
      </c>
      <c r="DE7" s="29">
        <v>7.7731000000000003</v>
      </c>
      <c r="DF7" s="29">
        <v>5.7911000000000001</v>
      </c>
      <c r="DG7" s="29">
        <v>5.2961</v>
      </c>
      <c r="DH7" s="29">
        <v>5.17</v>
      </c>
      <c r="DI7" s="29">
        <v>7.1898</v>
      </c>
      <c r="DJ7" s="29">
        <v>9.4882000000000009</v>
      </c>
      <c r="DK7" s="29">
        <v>11.4893</v>
      </c>
      <c r="DL7" s="29">
        <v>11.831099999999999</v>
      </c>
      <c r="DM7" s="29">
        <v>11.589</v>
      </c>
      <c r="DN7" s="29">
        <v>11.5297</v>
      </c>
      <c r="DO7" s="29">
        <v>11.602600000000001</v>
      </c>
      <c r="DP7" s="29">
        <v>11.297700000000001</v>
      </c>
      <c r="DQ7" s="29">
        <v>7.4999000000000002</v>
      </c>
      <c r="DR7" s="29">
        <v>5.7830000000000004</v>
      </c>
      <c r="DS7" s="29">
        <v>5.0888</v>
      </c>
      <c r="DT7" s="29">
        <v>5.7981999999999996</v>
      </c>
      <c r="DU7" s="29">
        <v>7.2752999999999997</v>
      </c>
      <c r="DV7" s="31">
        <v>9.9760000000000009</v>
      </c>
    </row>
    <row r="8" spans="1:126" ht="24.95" customHeight="1" x14ac:dyDescent="0.3">
      <c r="A8" s="37"/>
      <c r="B8" s="11" t="s">
        <v>10</v>
      </c>
      <c r="C8" s="28">
        <v>2.7473999999999998</v>
      </c>
      <c r="D8" s="28">
        <v>2.9283000000000001</v>
      </c>
      <c r="E8" s="28">
        <v>2.0457999999999998</v>
      </c>
      <c r="F8" s="28">
        <v>0.95379999999999998</v>
      </c>
      <c r="G8" s="28">
        <v>2.4024999999999999</v>
      </c>
      <c r="H8" s="28">
        <v>5.2</v>
      </c>
      <c r="I8" s="28">
        <v>9.0157000000000007</v>
      </c>
      <c r="J8" s="28">
        <v>9.7566000000000006</v>
      </c>
      <c r="K8" s="28">
        <v>5.8205999999999998</v>
      </c>
      <c r="L8" s="28">
        <v>1.3068</v>
      </c>
      <c r="M8" s="28">
        <v>1.7809999999999999</v>
      </c>
      <c r="N8" s="28">
        <v>2.8401999999999998</v>
      </c>
      <c r="O8" s="28">
        <v>2.7683</v>
      </c>
      <c r="P8" s="28">
        <v>2.7486999999999999</v>
      </c>
      <c r="Q8" s="28">
        <v>2.0851000000000002</v>
      </c>
      <c r="R8" s="28">
        <v>1.0301</v>
      </c>
      <c r="S8" s="28">
        <v>2.7873000000000001</v>
      </c>
      <c r="T8" s="28">
        <v>5.6996000000000002</v>
      </c>
      <c r="U8" s="28">
        <v>10.619</v>
      </c>
      <c r="V8" s="28">
        <v>9.6074999999999999</v>
      </c>
      <c r="W8" s="28">
        <v>5.8956</v>
      </c>
      <c r="X8" s="28">
        <v>1.2927</v>
      </c>
      <c r="Y8" s="28">
        <v>1.8496999999999999</v>
      </c>
      <c r="Z8" s="28">
        <v>2.9620000000000002</v>
      </c>
      <c r="AA8" s="28">
        <v>2.8197999999999999</v>
      </c>
      <c r="AB8" s="28">
        <v>2.7578999999999998</v>
      </c>
      <c r="AC8" s="28">
        <v>2.0922999999999998</v>
      </c>
      <c r="AD8" s="28">
        <v>0.98839999999999995</v>
      </c>
      <c r="AE8" s="28">
        <v>2.3249</v>
      </c>
      <c r="AF8" s="28">
        <v>5.5534999999999997</v>
      </c>
      <c r="AG8" s="28">
        <v>10.535600000000001</v>
      </c>
      <c r="AH8" s="28">
        <v>11.368600000000001</v>
      </c>
      <c r="AI8" s="28">
        <v>5.4912000000000001</v>
      </c>
      <c r="AJ8" s="28">
        <v>1.0161</v>
      </c>
      <c r="AK8" s="28">
        <v>1.5617000000000001</v>
      </c>
      <c r="AL8" s="28">
        <v>2.6859999999999999</v>
      </c>
      <c r="AM8" s="28">
        <v>2.5983000000000001</v>
      </c>
      <c r="AN8" s="28">
        <v>2.3534999999999999</v>
      </c>
      <c r="AO8" s="28">
        <v>1.8964000000000001</v>
      </c>
      <c r="AP8" s="28">
        <v>1.0556000000000001</v>
      </c>
      <c r="AQ8" s="28">
        <v>2.3898000000000001</v>
      </c>
      <c r="AR8" s="28">
        <v>5.0427999999999997</v>
      </c>
      <c r="AS8" s="28">
        <v>8.1547999999999998</v>
      </c>
      <c r="AT8" s="28">
        <v>9.7341999999999995</v>
      </c>
      <c r="AU8" s="28">
        <v>6.2634999999999996</v>
      </c>
      <c r="AV8" s="28">
        <v>1.7128000000000001</v>
      </c>
      <c r="AW8" s="28">
        <v>1.5671999999999999</v>
      </c>
      <c r="AX8" s="28">
        <v>2.3264999999999998</v>
      </c>
      <c r="AY8" s="28">
        <v>2.2665999999999999</v>
      </c>
      <c r="AZ8" s="28">
        <v>2.0832999999999999</v>
      </c>
      <c r="BA8" s="28">
        <v>1.7005999999999999</v>
      </c>
      <c r="BB8" s="28">
        <v>1.0671999999999999</v>
      </c>
      <c r="BC8" s="28">
        <v>2.3351999999999999</v>
      </c>
      <c r="BD8" s="28">
        <v>5.5338000000000003</v>
      </c>
      <c r="BE8" s="28">
        <v>5.9451000000000001</v>
      </c>
      <c r="BF8" s="28">
        <v>10.096299999999999</v>
      </c>
      <c r="BG8" s="28">
        <v>4.4585999999999997</v>
      </c>
      <c r="BH8" s="28">
        <v>1.034</v>
      </c>
      <c r="BI8" s="28">
        <v>1.4967999999999999</v>
      </c>
      <c r="BJ8" s="28">
        <v>2.4618000000000002</v>
      </c>
      <c r="BK8" s="28">
        <v>2.6208</v>
      </c>
      <c r="BL8" s="28">
        <v>2.3005</v>
      </c>
      <c r="BM8" s="28">
        <v>1.5353000000000001</v>
      </c>
      <c r="BN8" s="28">
        <v>0.89759999999999995</v>
      </c>
      <c r="BO8" s="28">
        <v>1.4217</v>
      </c>
      <c r="BP8" s="28">
        <v>5.0593000000000004</v>
      </c>
      <c r="BQ8" s="28">
        <v>9.0106000000000002</v>
      </c>
      <c r="BR8" s="28">
        <v>9.0924999999999994</v>
      </c>
      <c r="BS8" s="28">
        <v>5.1360000000000001</v>
      </c>
      <c r="BT8" s="28">
        <v>2.1036000000000001</v>
      </c>
      <c r="BU8" s="28">
        <v>1.6700999999999999</v>
      </c>
      <c r="BV8" s="28">
        <v>2.3483000000000001</v>
      </c>
      <c r="BW8" s="28">
        <v>2.4533</v>
      </c>
      <c r="BX8" s="28">
        <v>2.1133000000000002</v>
      </c>
      <c r="BY8" s="28">
        <v>2.1151</v>
      </c>
      <c r="BZ8" s="28">
        <v>1.0583</v>
      </c>
      <c r="CA8" s="28">
        <v>2.4786999999999999</v>
      </c>
      <c r="CB8" s="28">
        <v>6.0991</v>
      </c>
      <c r="CC8" s="28">
        <v>10.039899999999999</v>
      </c>
      <c r="CD8" s="28">
        <v>9.4421999999999997</v>
      </c>
      <c r="CE8" s="28">
        <v>4.7805999999999997</v>
      </c>
      <c r="CF8" s="28">
        <v>1.2310000000000001</v>
      </c>
      <c r="CG8" s="28">
        <v>1.2558</v>
      </c>
      <c r="CH8" s="28">
        <v>2.5836000000000001</v>
      </c>
      <c r="CI8" s="28">
        <v>2.4287999999999998</v>
      </c>
      <c r="CJ8" s="28">
        <v>2.2181000000000002</v>
      </c>
      <c r="CK8" s="28">
        <v>1.3997999999999999</v>
      </c>
      <c r="CL8" s="28">
        <v>0.85770000000000002</v>
      </c>
      <c r="CM8" s="28">
        <v>2.125</v>
      </c>
      <c r="CN8" s="28">
        <v>6.1650999999999998</v>
      </c>
      <c r="CO8" s="28">
        <v>9.1877999999999993</v>
      </c>
      <c r="CP8" s="28">
        <v>10.837400000000001</v>
      </c>
      <c r="CQ8" s="28">
        <v>7.2183000000000002</v>
      </c>
      <c r="CR8" s="28">
        <v>1.4550000000000001</v>
      </c>
      <c r="CS8" s="28">
        <v>1.6964999999999999</v>
      </c>
      <c r="CT8" s="28">
        <v>2.3081</v>
      </c>
      <c r="CU8" s="28">
        <v>2.3010999999999999</v>
      </c>
      <c r="CV8" s="28">
        <v>1.9921</v>
      </c>
      <c r="CW8" s="28">
        <v>1.7878000000000001</v>
      </c>
      <c r="CX8" s="28">
        <v>0.93330000000000002</v>
      </c>
      <c r="CY8" s="28">
        <v>2.1055999999999999</v>
      </c>
      <c r="CZ8" s="28">
        <v>6.0430000000000001</v>
      </c>
      <c r="DA8" s="28">
        <v>9.4224999999999994</v>
      </c>
      <c r="DB8" s="28">
        <v>11.6328</v>
      </c>
      <c r="DC8" s="28">
        <v>9.3053000000000008</v>
      </c>
      <c r="DD8" s="28">
        <v>1.6969000000000001</v>
      </c>
      <c r="DE8" s="28">
        <v>1.4699</v>
      </c>
      <c r="DF8" s="28">
        <v>2.2241</v>
      </c>
      <c r="DG8" s="28">
        <v>2.2174</v>
      </c>
      <c r="DH8" s="28">
        <v>2.5175000000000001</v>
      </c>
      <c r="DI8" s="28">
        <v>1.7017</v>
      </c>
      <c r="DJ8" s="28">
        <v>1.0072000000000001</v>
      </c>
      <c r="DK8" s="28">
        <v>2.0701999999999998</v>
      </c>
      <c r="DL8" s="28">
        <v>6.7267000000000001</v>
      </c>
      <c r="DM8" s="28">
        <v>10.569000000000001</v>
      </c>
      <c r="DN8" s="28">
        <v>11.807399999999999</v>
      </c>
      <c r="DO8" s="28">
        <v>8.5884</v>
      </c>
      <c r="DP8" s="28">
        <v>2.2467999999999999</v>
      </c>
      <c r="DQ8" s="28">
        <v>1.4995000000000001</v>
      </c>
      <c r="DR8" s="28">
        <v>2.1974</v>
      </c>
      <c r="DS8" s="28">
        <v>2.4523999999999999</v>
      </c>
      <c r="DT8" s="28">
        <v>2.1718999999999999</v>
      </c>
      <c r="DU8" s="28">
        <v>1.7374000000000001</v>
      </c>
      <c r="DV8" s="32">
        <v>0.87</v>
      </c>
    </row>
    <row r="9" spans="1:126" ht="24.95" customHeight="1" x14ac:dyDescent="0.3">
      <c r="A9" s="37"/>
      <c r="B9" s="11" t="s">
        <v>11</v>
      </c>
      <c r="C9" s="28">
        <v>2.4152</v>
      </c>
      <c r="D9" s="28">
        <v>2.4900000000000002</v>
      </c>
      <c r="E9" s="28">
        <v>2.0182000000000002</v>
      </c>
      <c r="F9" s="28">
        <v>1.6040000000000001</v>
      </c>
      <c r="G9" s="28">
        <v>1.0928</v>
      </c>
      <c r="H9" s="28">
        <v>0.99850000000000005</v>
      </c>
      <c r="I9" s="28">
        <v>0.84750000000000003</v>
      </c>
      <c r="J9" s="28">
        <v>0.83009999999999995</v>
      </c>
      <c r="K9" s="28">
        <v>0.91120000000000001</v>
      </c>
      <c r="L9" s="28">
        <v>1.1656</v>
      </c>
      <c r="M9" s="28">
        <v>2.0099</v>
      </c>
      <c r="N9" s="28">
        <v>2.2437999999999998</v>
      </c>
      <c r="O9" s="28">
        <v>2.3287</v>
      </c>
      <c r="P9" s="28">
        <v>2.3972000000000002</v>
      </c>
      <c r="Q9" s="28">
        <v>2.0749</v>
      </c>
      <c r="R9" s="28">
        <v>1.6651</v>
      </c>
      <c r="S9" s="28">
        <v>1.0768</v>
      </c>
      <c r="T9" s="28">
        <v>0.96870000000000001</v>
      </c>
      <c r="U9" s="28">
        <v>0.84440000000000004</v>
      </c>
      <c r="V9" s="28">
        <v>0.84340000000000004</v>
      </c>
      <c r="W9" s="28">
        <v>0.88470000000000004</v>
      </c>
      <c r="X9" s="28">
        <v>1.1888000000000001</v>
      </c>
      <c r="Y9" s="28">
        <v>1.9994000000000001</v>
      </c>
      <c r="Z9" s="28">
        <v>2.1941999999999999</v>
      </c>
      <c r="AA9" s="28">
        <v>2.2824</v>
      </c>
      <c r="AB9" s="28">
        <v>2.2614999999999998</v>
      </c>
      <c r="AC9" s="28">
        <v>2.0017</v>
      </c>
      <c r="AD9" s="28">
        <v>1.5450999999999999</v>
      </c>
      <c r="AE9" s="28">
        <v>1.0386</v>
      </c>
      <c r="AF9" s="28">
        <v>0.96950000000000003</v>
      </c>
      <c r="AG9" s="28">
        <v>0.83750000000000002</v>
      </c>
      <c r="AH9" s="28">
        <v>0.83509999999999995</v>
      </c>
      <c r="AI9" s="28">
        <v>0.90569999999999995</v>
      </c>
      <c r="AJ9" s="28">
        <v>1.3067</v>
      </c>
      <c r="AK9" s="28">
        <v>1.8501000000000001</v>
      </c>
      <c r="AL9" s="28">
        <v>2.0880999999999998</v>
      </c>
      <c r="AM9" s="28">
        <v>2.2023000000000001</v>
      </c>
      <c r="AN9" s="28">
        <v>2.1335000000000002</v>
      </c>
      <c r="AO9" s="28">
        <v>1.9550000000000001</v>
      </c>
      <c r="AP9" s="28">
        <v>1.5305</v>
      </c>
      <c r="AQ9" s="28">
        <v>1.0804</v>
      </c>
      <c r="AR9" s="28">
        <v>0.97489999999999999</v>
      </c>
      <c r="AS9" s="28">
        <v>0.89749999999999996</v>
      </c>
      <c r="AT9" s="28">
        <v>0.88560000000000005</v>
      </c>
      <c r="AU9" s="28">
        <v>0.94710000000000005</v>
      </c>
      <c r="AV9" s="28">
        <v>1.2404999999999999</v>
      </c>
      <c r="AW9" s="28">
        <v>1.7470000000000001</v>
      </c>
      <c r="AX9" s="28">
        <v>2.0209999999999999</v>
      </c>
      <c r="AY9" s="28">
        <v>2.0455000000000001</v>
      </c>
      <c r="AZ9" s="28">
        <v>1.9359999999999999</v>
      </c>
      <c r="BA9" s="28">
        <v>1.675</v>
      </c>
      <c r="BB9" s="28">
        <v>1.3960999999999999</v>
      </c>
      <c r="BC9" s="28">
        <v>1.1893</v>
      </c>
      <c r="BD9" s="28">
        <v>0.96940000000000004</v>
      </c>
      <c r="BE9" s="28">
        <v>0.93140000000000001</v>
      </c>
      <c r="BF9" s="28">
        <v>0.85440000000000005</v>
      </c>
      <c r="BG9" s="28">
        <v>0.89770000000000005</v>
      </c>
      <c r="BH9" s="28">
        <v>1.2398</v>
      </c>
      <c r="BI9" s="28">
        <v>1.673</v>
      </c>
      <c r="BJ9" s="28">
        <v>2.0253000000000001</v>
      </c>
      <c r="BK9" s="28">
        <v>2.1827000000000001</v>
      </c>
      <c r="BL9" s="28">
        <v>2.1053000000000002</v>
      </c>
      <c r="BM9" s="28">
        <v>1.7867</v>
      </c>
      <c r="BN9" s="28">
        <v>1.4689000000000001</v>
      </c>
      <c r="BO9" s="28">
        <v>1.2339</v>
      </c>
      <c r="BP9" s="28">
        <v>1.022</v>
      </c>
      <c r="BQ9" s="28">
        <v>0.9405</v>
      </c>
      <c r="BR9" s="28">
        <v>0.9304</v>
      </c>
      <c r="BS9" s="28">
        <v>0.97540000000000004</v>
      </c>
      <c r="BT9" s="28">
        <v>1.2739</v>
      </c>
      <c r="BU9" s="28">
        <v>1.7985</v>
      </c>
      <c r="BV9" s="28">
        <v>2.0082</v>
      </c>
      <c r="BW9" s="28">
        <v>2.0931999999999999</v>
      </c>
      <c r="BX9" s="28">
        <v>1.9317</v>
      </c>
      <c r="BY9" s="28">
        <v>1.9557</v>
      </c>
      <c r="BZ9" s="28">
        <v>1.3762000000000001</v>
      </c>
      <c r="CA9" s="28">
        <v>1.1061000000000001</v>
      </c>
      <c r="CB9" s="28">
        <v>0.95330000000000004</v>
      </c>
      <c r="CC9" s="28">
        <v>0.89380000000000004</v>
      </c>
      <c r="CD9" s="28">
        <v>0.91410000000000002</v>
      </c>
      <c r="CE9" s="28">
        <v>0.9617</v>
      </c>
      <c r="CF9" s="28">
        <v>1.2543</v>
      </c>
      <c r="CG9" s="28">
        <v>1.6220000000000001</v>
      </c>
      <c r="CH9" s="28">
        <v>1.9869000000000001</v>
      </c>
      <c r="CI9" s="28">
        <v>2.0236000000000001</v>
      </c>
      <c r="CJ9" s="28">
        <v>2.0070000000000001</v>
      </c>
      <c r="CK9" s="28">
        <v>1.7764</v>
      </c>
      <c r="CL9" s="28">
        <v>1.3764000000000001</v>
      </c>
      <c r="CM9" s="28">
        <v>1.1119000000000001</v>
      </c>
      <c r="CN9" s="28">
        <v>0.97150000000000003</v>
      </c>
      <c r="CO9" s="28">
        <v>0.96889999999999998</v>
      </c>
      <c r="CP9" s="28">
        <v>0.95030000000000003</v>
      </c>
      <c r="CQ9" s="28">
        <v>0.93540000000000001</v>
      </c>
      <c r="CR9" s="28">
        <v>1.1812</v>
      </c>
      <c r="CS9" s="28">
        <v>1.6854</v>
      </c>
      <c r="CT9" s="28">
        <v>1.8866000000000001</v>
      </c>
      <c r="CU9" s="28">
        <v>1.9570000000000001</v>
      </c>
      <c r="CV9" s="28">
        <v>1.8485</v>
      </c>
      <c r="CW9" s="28">
        <v>1.7926</v>
      </c>
      <c r="CX9" s="28">
        <v>1.3907</v>
      </c>
      <c r="CY9" s="28">
        <v>1.1356999999999999</v>
      </c>
      <c r="CZ9" s="28">
        <v>0.98060000000000003</v>
      </c>
      <c r="DA9" s="28">
        <v>0.98860000000000003</v>
      </c>
      <c r="DB9" s="28">
        <v>0.73550000000000004</v>
      </c>
      <c r="DC9" s="28">
        <v>0.95499999999999996</v>
      </c>
      <c r="DD9" s="28">
        <v>1.1048</v>
      </c>
      <c r="DE9" s="28">
        <v>1.5524</v>
      </c>
      <c r="DF9" s="28">
        <v>1.8736999999999999</v>
      </c>
      <c r="DG9" s="28">
        <v>1.9053</v>
      </c>
      <c r="DH9" s="28">
        <v>2.0617999999999999</v>
      </c>
      <c r="DI9" s="28">
        <v>1.7498</v>
      </c>
      <c r="DJ9" s="28">
        <v>1.3914</v>
      </c>
      <c r="DK9" s="28">
        <v>0.81259999999999999</v>
      </c>
      <c r="DL9" s="28">
        <v>1.0363</v>
      </c>
      <c r="DM9" s="28">
        <v>0.89700000000000002</v>
      </c>
      <c r="DN9" s="28">
        <v>0.90959999999999996</v>
      </c>
      <c r="DO9" s="28">
        <v>0.97070000000000001</v>
      </c>
      <c r="DP9" s="28">
        <v>0.78359999999999996</v>
      </c>
      <c r="DQ9" s="28">
        <v>1.6691</v>
      </c>
      <c r="DR9" s="28">
        <v>1.8758999999999999</v>
      </c>
      <c r="DS9" s="28">
        <v>2.0223</v>
      </c>
      <c r="DT9" s="28">
        <v>1.9807999999999999</v>
      </c>
      <c r="DU9" s="28">
        <v>1.8267</v>
      </c>
      <c r="DV9" s="32">
        <v>1.3904000000000001</v>
      </c>
    </row>
    <row r="10" spans="1:126" ht="24.95" customHeight="1" x14ac:dyDescent="0.3">
      <c r="A10" s="37"/>
      <c r="B10" s="11" t="s">
        <v>12</v>
      </c>
      <c r="C10" s="28">
        <v>16.582100000000001</v>
      </c>
      <c r="D10" s="28">
        <v>15.7438</v>
      </c>
      <c r="E10" s="28">
        <v>21.915500000000002</v>
      </c>
      <c r="F10" s="28">
        <v>27.943100000000001</v>
      </c>
      <c r="G10" s="28">
        <v>35.511999999999993</v>
      </c>
      <c r="H10" s="28">
        <v>39.125699999999995</v>
      </c>
      <c r="I10" s="28">
        <v>38.512799999999999</v>
      </c>
      <c r="J10" s="28">
        <v>40.297600000000003</v>
      </c>
      <c r="K10" s="28">
        <v>38.584199999999996</v>
      </c>
      <c r="L10" s="28">
        <v>34.388100000000001</v>
      </c>
      <c r="M10" s="28">
        <v>24.273</v>
      </c>
      <c r="N10" s="28">
        <v>18.3428</v>
      </c>
      <c r="O10" s="28">
        <v>15.348000000000001</v>
      </c>
      <c r="P10" s="28">
        <v>17.3963</v>
      </c>
      <c r="Q10" s="28">
        <v>21.261900000000001</v>
      </c>
      <c r="R10" s="28">
        <v>29.231400000000001</v>
      </c>
      <c r="S10" s="28">
        <v>36.575700000000005</v>
      </c>
      <c r="T10" s="28">
        <v>38.591700000000003</v>
      </c>
      <c r="U10" s="28">
        <v>38.512900000000002</v>
      </c>
      <c r="V10" s="28">
        <v>39.892099999999999</v>
      </c>
      <c r="W10" s="28">
        <v>41.652299999999997</v>
      </c>
      <c r="X10" s="28">
        <v>29.934200000000001</v>
      </c>
      <c r="Y10" s="28">
        <v>21.488199999999999</v>
      </c>
      <c r="Z10" s="28">
        <v>15.570399999999999</v>
      </c>
      <c r="AA10" s="28">
        <v>15.114599999999999</v>
      </c>
      <c r="AB10" s="28">
        <v>14.268800000000001</v>
      </c>
      <c r="AC10" s="28">
        <v>20.7043</v>
      </c>
      <c r="AD10" s="28">
        <v>28.1844</v>
      </c>
      <c r="AE10" s="28">
        <v>34.4621</v>
      </c>
      <c r="AF10" s="28">
        <v>39.328899999999997</v>
      </c>
      <c r="AG10" s="28">
        <v>37.375</v>
      </c>
      <c r="AH10" s="28">
        <v>38.667000000000002</v>
      </c>
      <c r="AI10" s="28">
        <v>36.850700000000003</v>
      </c>
      <c r="AJ10" s="28">
        <v>30.169</v>
      </c>
      <c r="AK10" s="28">
        <v>22.314800000000002</v>
      </c>
      <c r="AL10" s="28">
        <v>15.198600000000001</v>
      </c>
      <c r="AM10" s="28">
        <v>15.4955</v>
      </c>
      <c r="AN10" s="28">
        <v>13.9373</v>
      </c>
      <c r="AO10" s="28">
        <v>19.903199999999998</v>
      </c>
      <c r="AP10" s="28">
        <v>25.860700000000001</v>
      </c>
      <c r="AQ10" s="28">
        <v>36.817900000000002</v>
      </c>
      <c r="AR10" s="28">
        <v>36.734999999999999</v>
      </c>
      <c r="AS10" s="28">
        <v>38.7986</v>
      </c>
      <c r="AT10" s="28">
        <v>38.936799999999998</v>
      </c>
      <c r="AU10" s="28">
        <v>37.991999999999997</v>
      </c>
      <c r="AV10" s="28">
        <v>33.571899999999999</v>
      </c>
      <c r="AW10" s="28">
        <v>23.630099999999999</v>
      </c>
      <c r="AX10" s="28">
        <v>16.140599999999999</v>
      </c>
      <c r="AY10" s="28">
        <v>15.5853</v>
      </c>
      <c r="AZ10" s="28">
        <v>17.283300000000001</v>
      </c>
      <c r="BA10" s="28">
        <v>21.702000000000002</v>
      </c>
      <c r="BB10" s="28">
        <v>22.628299999999999</v>
      </c>
      <c r="BC10" s="28">
        <v>30.8034</v>
      </c>
      <c r="BD10" s="28">
        <v>34.187600000000003</v>
      </c>
      <c r="BE10" s="28">
        <v>36.0867</v>
      </c>
      <c r="BF10" s="28">
        <v>34.585799999999999</v>
      </c>
      <c r="BG10" s="28">
        <v>38.493600000000001</v>
      </c>
      <c r="BH10" s="28">
        <v>29.553000000000001</v>
      </c>
      <c r="BI10" s="28">
        <v>21.596</v>
      </c>
      <c r="BJ10" s="28">
        <v>15.3339</v>
      </c>
      <c r="BK10" s="28">
        <v>13.884499999999999</v>
      </c>
      <c r="BL10" s="28">
        <v>15.218400000000001</v>
      </c>
      <c r="BM10" s="28">
        <v>20.466200000000001</v>
      </c>
      <c r="BN10" s="28">
        <v>27.721699999999998</v>
      </c>
      <c r="BO10" s="28">
        <v>34.547400000000003</v>
      </c>
      <c r="BP10" s="28">
        <v>38.842100000000002</v>
      </c>
      <c r="BQ10" s="28">
        <v>40.143500000000003</v>
      </c>
      <c r="BR10" s="28">
        <v>38.559399999999997</v>
      </c>
      <c r="BS10" s="28">
        <v>38.816000000000003</v>
      </c>
      <c r="BT10" s="28">
        <v>32.088700000000003</v>
      </c>
      <c r="BU10" s="28">
        <v>20.829699999999999</v>
      </c>
      <c r="BV10" s="28">
        <v>15.6374</v>
      </c>
      <c r="BW10" s="28">
        <v>13.657299999999999</v>
      </c>
      <c r="BX10" s="28">
        <v>13.76</v>
      </c>
      <c r="BY10" s="28">
        <v>19.172599999999999</v>
      </c>
      <c r="BZ10" s="28">
        <v>27.9543</v>
      </c>
      <c r="CA10" s="28">
        <v>35.428600000000003</v>
      </c>
      <c r="CB10" s="28">
        <v>38.4557</v>
      </c>
      <c r="CC10" s="28">
        <v>40.594099999999997</v>
      </c>
      <c r="CD10" s="28">
        <v>39.792099999999998</v>
      </c>
      <c r="CE10" s="28">
        <v>38.616300000000003</v>
      </c>
      <c r="CF10" s="28">
        <v>29.715699999999998</v>
      </c>
      <c r="CG10" s="28">
        <v>21.629200000000001</v>
      </c>
      <c r="CH10" s="28">
        <v>13.5578</v>
      </c>
      <c r="CI10" s="28">
        <v>12.1921</v>
      </c>
      <c r="CJ10" s="28">
        <v>15.441700000000001</v>
      </c>
      <c r="CK10" s="28">
        <v>20.609400000000001</v>
      </c>
      <c r="CL10" s="28">
        <v>25.928899999999999</v>
      </c>
      <c r="CM10" s="28">
        <v>32.301099999999998</v>
      </c>
      <c r="CN10" s="28">
        <v>36.6905</v>
      </c>
      <c r="CO10" s="28">
        <v>35.344799999999999</v>
      </c>
      <c r="CP10" s="28">
        <v>36.618600000000001</v>
      </c>
      <c r="CQ10" s="28">
        <v>36.664900000000003</v>
      </c>
      <c r="CR10" s="28">
        <v>30.541899999999998</v>
      </c>
      <c r="CS10" s="28">
        <v>20.094100000000001</v>
      </c>
      <c r="CT10" s="28">
        <v>14.3146</v>
      </c>
      <c r="CU10" s="28">
        <v>13.769</v>
      </c>
      <c r="CV10" s="28">
        <v>13.753500000000001</v>
      </c>
      <c r="CW10" s="28">
        <v>17.512799999999999</v>
      </c>
      <c r="CX10" s="28">
        <v>26.950700000000001</v>
      </c>
      <c r="CY10" s="28">
        <v>32.551099999999998</v>
      </c>
      <c r="CZ10" s="28">
        <v>35.336599999999997</v>
      </c>
      <c r="DA10" s="28">
        <v>34.569600000000001</v>
      </c>
      <c r="DB10" s="28">
        <v>35.032400000000003</v>
      </c>
      <c r="DC10" s="28">
        <v>34.182400000000001</v>
      </c>
      <c r="DD10" s="28">
        <v>32.074199999999998</v>
      </c>
      <c r="DE10" s="28">
        <v>21.598299999999998</v>
      </c>
      <c r="DF10" s="28">
        <v>13.8337</v>
      </c>
      <c r="DG10" s="28">
        <v>11.3688</v>
      </c>
      <c r="DH10" s="28">
        <v>13.3612</v>
      </c>
      <c r="DI10" s="28">
        <v>16.540199999999999</v>
      </c>
      <c r="DJ10" s="28">
        <v>24.822500000000002</v>
      </c>
      <c r="DK10" s="28">
        <v>29.166799999999999</v>
      </c>
      <c r="DL10" s="28">
        <v>33.480600000000003</v>
      </c>
      <c r="DM10" s="28">
        <v>35.228999999999999</v>
      </c>
      <c r="DN10" s="28">
        <v>34.903799999999997</v>
      </c>
      <c r="DO10" s="28">
        <v>37.086500000000001</v>
      </c>
      <c r="DP10" s="28">
        <v>28.401700000000002</v>
      </c>
      <c r="DQ10" s="28">
        <v>19.749700000000001</v>
      </c>
      <c r="DR10" s="28">
        <v>13.1633</v>
      </c>
      <c r="DS10" s="28">
        <v>12.2865</v>
      </c>
      <c r="DT10" s="28">
        <v>12.554600000000001</v>
      </c>
      <c r="DU10" s="28">
        <v>17.1861</v>
      </c>
      <c r="DV10" s="32">
        <v>25.428599999999999</v>
      </c>
    </row>
    <row r="11" spans="1:126" ht="24.95" customHeight="1" x14ac:dyDescent="0.3">
      <c r="A11" s="37"/>
      <c r="B11" s="11" t="s">
        <v>13</v>
      </c>
      <c r="C11" s="28">
        <v>4.1140999999999996</v>
      </c>
      <c r="D11" s="28">
        <v>4.6627000000000001</v>
      </c>
      <c r="E11" s="28">
        <v>6.0453999999999999</v>
      </c>
      <c r="F11" s="28">
        <v>8.7969000000000008</v>
      </c>
      <c r="G11" s="28">
        <v>11.539899999999999</v>
      </c>
      <c r="H11" s="28">
        <v>12.984500000000001</v>
      </c>
      <c r="I11" s="28">
        <v>13.9222</v>
      </c>
      <c r="J11" s="28">
        <v>15.1496</v>
      </c>
      <c r="K11" s="28">
        <v>13.4862</v>
      </c>
      <c r="L11" s="28">
        <v>10.4429</v>
      </c>
      <c r="M11" s="28">
        <v>6.6045999999999996</v>
      </c>
      <c r="N11" s="28">
        <v>5.1261999999999999</v>
      </c>
      <c r="O11" s="28">
        <v>4.2587999999999999</v>
      </c>
      <c r="P11" s="28">
        <v>4.6356000000000002</v>
      </c>
      <c r="Q11" s="28">
        <v>5.8018999999999998</v>
      </c>
      <c r="R11" s="28">
        <v>8.4330999999999996</v>
      </c>
      <c r="S11" s="28">
        <v>12.1358</v>
      </c>
      <c r="T11" s="28">
        <v>13.7004</v>
      </c>
      <c r="U11" s="28">
        <v>14.9902</v>
      </c>
      <c r="V11" s="28">
        <v>15.395899999999999</v>
      </c>
      <c r="W11" s="28">
        <v>14.1699</v>
      </c>
      <c r="X11" s="28">
        <v>10.6807</v>
      </c>
      <c r="Y11" s="28">
        <v>6.31</v>
      </c>
      <c r="Z11" s="28">
        <v>4.4135</v>
      </c>
      <c r="AA11" s="28">
        <v>3.9186000000000001</v>
      </c>
      <c r="AB11" s="28">
        <v>4.1942000000000004</v>
      </c>
      <c r="AC11" s="28">
        <v>5.8712999999999997</v>
      </c>
      <c r="AD11" s="28">
        <v>8.5035000000000007</v>
      </c>
      <c r="AE11" s="28">
        <v>11.6152</v>
      </c>
      <c r="AF11" s="28">
        <v>13.169600000000001</v>
      </c>
      <c r="AG11" s="28">
        <v>14.6793</v>
      </c>
      <c r="AH11" s="28">
        <v>15.2675</v>
      </c>
      <c r="AI11" s="28">
        <v>12.6767</v>
      </c>
      <c r="AJ11" s="28">
        <v>9.2523999999999997</v>
      </c>
      <c r="AK11" s="28">
        <v>6.3090000000000002</v>
      </c>
      <c r="AL11" s="28">
        <v>4.4626000000000001</v>
      </c>
      <c r="AM11" s="28">
        <v>4.0719000000000003</v>
      </c>
      <c r="AN11" s="28">
        <v>4.4748999999999999</v>
      </c>
      <c r="AO11" s="28">
        <v>5.9554999999999998</v>
      </c>
      <c r="AP11" s="28">
        <v>7.7111000000000001</v>
      </c>
      <c r="AQ11" s="28">
        <v>11.007400000000001</v>
      </c>
      <c r="AR11" s="28">
        <v>13.073399999999999</v>
      </c>
      <c r="AS11" s="28">
        <v>13.5854</v>
      </c>
      <c r="AT11" s="28">
        <v>14.9024</v>
      </c>
      <c r="AU11" s="28">
        <v>13.3462</v>
      </c>
      <c r="AV11" s="28">
        <v>10.272500000000001</v>
      </c>
      <c r="AW11" s="28">
        <v>6.4962999999999997</v>
      </c>
      <c r="AX11" s="28">
        <v>4.6802000000000001</v>
      </c>
      <c r="AY11" s="28">
        <v>4.1692</v>
      </c>
      <c r="AZ11" s="28">
        <v>4.4870000000000001</v>
      </c>
      <c r="BA11" s="28">
        <v>5.0720000000000001</v>
      </c>
      <c r="BB11" s="28">
        <v>6.5545999999999998</v>
      </c>
      <c r="BC11" s="28">
        <v>10.532999999999999</v>
      </c>
      <c r="BD11" s="28">
        <v>13.2918</v>
      </c>
      <c r="BE11" s="28">
        <v>12.675000000000001</v>
      </c>
      <c r="BF11" s="28">
        <v>13.501099999999999</v>
      </c>
      <c r="BG11" s="28">
        <v>12.3202</v>
      </c>
      <c r="BH11" s="28">
        <v>8.7110000000000003</v>
      </c>
      <c r="BI11" s="28">
        <v>5.8994999999999997</v>
      </c>
      <c r="BJ11" s="28">
        <v>3.8773</v>
      </c>
      <c r="BK11" s="28">
        <v>3.4350999999999998</v>
      </c>
      <c r="BL11" s="28">
        <v>3.9382999999999999</v>
      </c>
      <c r="BM11" s="28">
        <v>5.4085000000000001</v>
      </c>
      <c r="BN11" s="28">
        <v>7.1252000000000004</v>
      </c>
      <c r="BO11" s="28">
        <v>9.4472000000000005</v>
      </c>
      <c r="BP11" s="28">
        <v>11.4175</v>
      </c>
      <c r="BQ11" s="28">
        <v>12.331200000000001</v>
      </c>
      <c r="BR11" s="28">
        <v>13.0373</v>
      </c>
      <c r="BS11" s="28">
        <v>12.2201</v>
      </c>
      <c r="BT11" s="28">
        <v>8.7501999999999995</v>
      </c>
      <c r="BU11" s="28">
        <v>5.6007999999999996</v>
      </c>
      <c r="BV11" s="28">
        <v>4.1195000000000004</v>
      </c>
      <c r="BW11" s="28">
        <v>3.5863</v>
      </c>
      <c r="BX11" s="28">
        <v>3.6440000000000001</v>
      </c>
      <c r="BY11" s="28">
        <v>4.9104000000000001</v>
      </c>
      <c r="BZ11" s="28">
        <v>7.6592000000000002</v>
      </c>
      <c r="CA11" s="28">
        <v>10.648</v>
      </c>
      <c r="CB11" s="28">
        <v>12.385999999999999</v>
      </c>
      <c r="CC11" s="28">
        <v>13.6813</v>
      </c>
      <c r="CD11" s="28">
        <v>13.999499999999999</v>
      </c>
      <c r="CE11" s="28">
        <v>12.5946</v>
      </c>
      <c r="CF11" s="28">
        <v>9.1857000000000006</v>
      </c>
      <c r="CG11" s="28">
        <v>6.2663000000000002</v>
      </c>
      <c r="CH11" s="28">
        <v>3.7307999999999999</v>
      </c>
      <c r="CI11" s="28">
        <v>3.4733000000000001</v>
      </c>
      <c r="CJ11" s="28">
        <v>4.165</v>
      </c>
      <c r="CK11" s="28">
        <v>6.2794999999999996</v>
      </c>
      <c r="CL11" s="28">
        <v>8.2024000000000008</v>
      </c>
      <c r="CM11" s="28">
        <v>10.619899999999999</v>
      </c>
      <c r="CN11" s="28">
        <v>12.631</v>
      </c>
      <c r="CO11" s="28">
        <v>13.774900000000001</v>
      </c>
      <c r="CP11" s="28">
        <v>14.171200000000001</v>
      </c>
      <c r="CQ11" s="28">
        <v>13.338699999999999</v>
      </c>
      <c r="CR11" s="28">
        <v>9.9971999999999994</v>
      </c>
      <c r="CS11" s="28">
        <v>5.8456000000000001</v>
      </c>
      <c r="CT11" s="28">
        <v>4.0613000000000001</v>
      </c>
      <c r="CU11" s="28">
        <v>3.6316999999999999</v>
      </c>
      <c r="CV11" s="28">
        <v>4.0637999999999996</v>
      </c>
      <c r="CW11" s="28">
        <v>4.9006999999999996</v>
      </c>
      <c r="CX11" s="28">
        <v>8.0683000000000007</v>
      </c>
      <c r="CY11" s="28">
        <v>10.5566</v>
      </c>
      <c r="CZ11" s="28">
        <v>12.1343</v>
      </c>
      <c r="DA11" s="28">
        <v>13.0733</v>
      </c>
      <c r="DB11" s="28">
        <v>14.033099999999999</v>
      </c>
      <c r="DC11" s="28">
        <v>13.7324</v>
      </c>
      <c r="DD11" s="28">
        <v>10.3508</v>
      </c>
      <c r="DE11" s="28">
        <v>6.4059999999999997</v>
      </c>
      <c r="DF11" s="28">
        <v>4.0045999999999999</v>
      </c>
      <c r="DG11" s="28">
        <v>3.4165000000000001</v>
      </c>
      <c r="DH11" s="28">
        <v>3.5324</v>
      </c>
      <c r="DI11" s="28">
        <v>5.0483000000000002</v>
      </c>
      <c r="DJ11" s="28">
        <v>7.8654999999999999</v>
      </c>
      <c r="DK11" s="28">
        <v>10.5039</v>
      </c>
      <c r="DL11" s="28">
        <v>12.5778</v>
      </c>
      <c r="DM11" s="28">
        <v>14.064</v>
      </c>
      <c r="DN11" s="28">
        <v>14.6937</v>
      </c>
      <c r="DO11" s="28">
        <v>13.6408</v>
      </c>
      <c r="DP11" s="28">
        <v>10.3643</v>
      </c>
      <c r="DQ11" s="28">
        <v>6.0434999999999999</v>
      </c>
      <c r="DR11" s="28">
        <v>4.1074999999999999</v>
      </c>
      <c r="DS11" s="28">
        <v>3.3948999999999998</v>
      </c>
      <c r="DT11" s="28">
        <v>3.8921999999999999</v>
      </c>
      <c r="DU11" s="28">
        <v>5.1912000000000003</v>
      </c>
      <c r="DV11" s="32">
        <v>8.2652000000000001</v>
      </c>
    </row>
    <row r="12" spans="1:126" ht="24.95" customHeight="1" x14ac:dyDescent="0.3">
      <c r="A12" s="37"/>
      <c r="B12" s="11" t="s">
        <v>14</v>
      </c>
      <c r="C12" s="28">
        <v>0.67689999999999995</v>
      </c>
      <c r="D12" s="28">
        <v>0.69450000000000001</v>
      </c>
      <c r="E12" s="28">
        <v>0.76629999999999998</v>
      </c>
      <c r="F12" s="28">
        <v>0.9758</v>
      </c>
      <c r="G12" s="28">
        <v>2.3565</v>
      </c>
      <c r="H12" s="28">
        <v>1.9601999999999999</v>
      </c>
      <c r="I12" s="28">
        <v>1.9758</v>
      </c>
      <c r="J12" s="28">
        <v>2.0074999999999998</v>
      </c>
      <c r="K12" s="28">
        <v>1.7041999999999999</v>
      </c>
      <c r="L12" s="28">
        <v>1.2018</v>
      </c>
      <c r="M12" s="28">
        <v>1.1212</v>
      </c>
      <c r="N12" s="28">
        <v>0.87129999999999996</v>
      </c>
      <c r="O12" s="28">
        <v>0.73219999999999996</v>
      </c>
      <c r="P12" s="28">
        <v>0.78959999999999997</v>
      </c>
      <c r="Q12" s="28">
        <v>0.70469999999999999</v>
      </c>
      <c r="R12" s="28">
        <v>1.3660000000000001</v>
      </c>
      <c r="S12" s="28">
        <v>1.0902000000000001</v>
      </c>
      <c r="T12" s="28">
        <v>1.1126</v>
      </c>
      <c r="U12" s="28">
        <v>1.4895</v>
      </c>
      <c r="V12" s="28">
        <v>1.4256</v>
      </c>
      <c r="W12" s="28">
        <v>1.2999000000000001</v>
      </c>
      <c r="X12" s="28">
        <v>1.0345</v>
      </c>
      <c r="Y12" s="28">
        <v>0.70830000000000004</v>
      </c>
      <c r="Z12" s="28">
        <v>0.65369999999999995</v>
      </c>
      <c r="AA12" s="28">
        <v>0.5756</v>
      </c>
      <c r="AB12" s="28">
        <v>0.66979999999999995</v>
      </c>
      <c r="AC12" s="28">
        <v>0.76990000000000003</v>
      </c>
      <c r="AD12" s="28">
        <v>1.4815</v>
      </c>
      <c r="AE12" s="28">
        <v>1.3862000000000001</v>
      </c>
      <c r="AF12" s="28">
        <v>1.1294999999999999</v>
      </c>
      <c r="AG12" s="28">
        <v>1.59</v>
      </c>
      <c r="AH12" s="28">
        <v>1.5369999999999999</v>
      </c>
      <c r="AI12" s="28">
        <v>1.4903</v>
      </c>
      <c r="AJ12" s="28">
        <v>1.0579000000000001</v>
      </c>
      <c r="AK12" s="28">
        <v>0.76259999999999994</v>
      </c>
      <c r="AL12" s="28">
        <v>0.84399999999999997</v>
      </c>
      <c r="AM12" s="28">
        <v>0.70220000000000005</v>
      </c>
      <c r="AN12" s="28">
        <v>0.72050000000000003</v>
      </c>
      <c r="AO12" s="28">
        <v>0.77680000000000005</v>
      </c>
      <c r="AP12" s="28">
        <v>1.7085999999999999</v>
      </c>
      <c r="AQ12" s="28">
        <v>1.0482</v>
      </c>
      <c r="AR12" s="28">
        <v>1.4415</v>
      </c>
      <c r="AS12" s="28">
        <v>1.681</v>
      </c>
      <c r="AT12" s="28">
        <v>1.9063000000000001</v>
      </c>
      <c r="AU12" s="28">
        <v>1.1867000000000001</v>
      </c>
      <c r="AV12" s="28">
        <v>1.0190999999999999</v>
      </c>
      <c r="AW12" s="28">
        <v>0.8861</v>
      </c>
      <c r="AX12" s="28">
        <v>0.83909999999999996</v>
      </c>
      <c r="AY12" s="28">
        <v>0.78569999999999995</v>
      </c>
      <c r="AZ12" s="28">
        <v>0.9214</v>
      </c>
      <c r="BA12" s="28">
        <v>0.77129999999999999</v>
      </c>
      <c r="BB12" s="28">
        <v>1.2967</v>
      </c>
      <c r="BC12" s="28">
        <v>1.0995999999999999</v>
      </c>
      <c r="BD12" s="28">
        <v>2.2147999999999999</v>
      </c>
      <c r="BE12" s="28">
        <v>2.1316000000000002</v>
      </c>
      <c r="BF12" s="28">
        <v>2.4190999999999998</v>
      </c>
      <c r="BG12" s="28">
        <v>1.5318000000000001</v>
      </c>
      <c r="BH12" s="28">
        <v>1.7115</v>
      </c>
      <c r="BI12" s="28">
        <v>1.1924999999999999</v>
      </c>
      <c r="BJ12" s="28">
        <v>0.72050000000000003</v>
      </c>
      <c r="BK12" s="28">
        <v>0.64190000000000003</v>
      </c>
      <c r="BL12" s="28">
        <v>0.73650000000000004</v>
      </c>
      <c r="BM12" s="28">
        <v>0.86450000000000005</v>
      </c>
      <c r="BN12" s="28">
        <v>1.2526999999999999</v>
      </c>
      <c r="BO12" s="28">
        <v>0.93700000000000006</v>
      </c>
      <c r="BP12" s="28">
        <v>1.2924</v>
      </c>
      <c r="BQ12" s="28">
        <v>1.7133</v>
      </c>
      <c r="BR12" s="28">
        <v>1.8705000000000001</v>
      </c>
      <c r="BS12" s="28">
        <v>1.0519000000000001</v>
      </c>
      <c r="BT12" s="28">
        <v>1.0037</v>
      </c>
      <c r="BU12" s="28">
        <v>0.98780000000000001</v>
      </c>
      <c r="BV12" s="28">
        <v>0.39379999999999998</v>
      </c>
      <c r="BW12" s="28">
        <v>0.42270000000000002</v>
      </c>
      <c r="BX12" s="28">
        <v>0.41510000000000002</v>
      </c>
      <c r="BY12" s="28">
        <v>0.37509999999999999</v>
      </c>
      <c r="BZ12" s="28">
        <v>0.63380000000000003</v>
      </c>
      <c r="CA12" s="28">
        <v>0.71230000000000004</v>
      </c>
      <c r="CB12" s="28">
        <v>0.96240000000000003</v>
      </c>
      <c r="CC12" s="28">
        <v>1.5354000000000001</v>
      </c>
      <c r="CD12" s="28">
        <v>1.2343</v>
      </c>
      <c r="CE12" s="28">
        <v>0.62180000000000002</v>
      </c>
      <c r="CF12" s="28">
        <v>0.436</v>
      </c>
      <c r="CG12" s="28">
        <v>0.17580000000000001</v>
      </c>
      <c r="CH12" s="28">
        <v>0.18079999999999999</v>
      </c>
      <c r="CI12" s="28">
        <v>0.1923</v>
      </c>
      <c r="CJ12" s="28">
        <v>0.20250000000000001</v>
      </c>
      <c r="CK12" s="28">
        <v>0.311</v>
      </c>
      <c r="CL12" s="28">
        <v>0.50460000000000005</v>
      </c>
      <c r="CM12" s="28">
        <v>0.83279999999999998</v>
      </c>
      <c r="CN12" s="28">
        <v>0.91590000000000005</v>
      </c>
      <c r="CO12" s="28">
        <v>0.94440000000000002</v>
      </c>
      <c r="CP12" s="28">
        <v>1.2659</v>
      </c>
      <c r="CQ12" s="28">
        <v>0.81599999999999995</v>
      </c>
      <c r="CR12" s="28">
        <v>0.74819999999999998</v>
      </c>
      <c r="CS12" s="28">
        <v>0.41970000000000002</v>
      </c>
      <c r="CT12" s="28">
        <v>0.3654</v>
      </c>
      <c r="CU12" s="28">
        <v>0.33210000000000001</v>
      </c>
      <c r="CV12" s="28">
        <v>0.38329999999999997</v>
      </c>
      <c r="CW12" s="28">
        <v>0.38779999999999998</v>
      </c>
      <c r="CX12" s="28">
        <v>0.56069999999999998</v>
      </c>
      <c r="CY12" s="28">
        <v>0.96779999999999999</v>
      </c>
      <c r="CZ12" s="28">
        <v>0.84350000000000003</v>
      </c>
      <c r="DA12" s="28">
        <v>1.0587</v>
      </c>
      <c r="DB12" s="28">
        <v>1.5387999999999999</v>
      </c>
      <c r="DC12" s="28">
        <v>0.93730000000000002</v>
      </c>
      <c r="DD12" s="28">
        <v>0.59130000000000005</v>
      </c>
      <c r="DE12" s="28">
        <v>0.48480000000000001</v>
      </c>
      <c r="DF12" s="28">
        <v>0.33760000000000001</v>
      </c>
      <c r="DG12" s="28">
        <v>0.3695</v>
      </c>
      <c r="DH12" s="28">
        <v>0.36969999999999997</v>
      </c>
      <c r="DI12" s="28">
        <v>0.51190000000000002</v>
      </c>
      <c r="DJ12" s="28">
        <v>0.69869999999999999</v>
      </c>
      <c r="DK12" s="28">
        <v>0.71189999999999998</v>
      </c>
      <c r="DL12" s="28">
        <v>0.53810000000000002</v>
      </c>
      <c r="DM12" s="28">
        <v>0.90990000000000004</v>
      </c>
      <c r="DN12" s="28">
        <v>0.98870000000000002</v>
      </c>
      <c r="DO12" s="28">
        <v>0.69950000000000001</v>
      </c>
      <c r="DP12" s="28">
        <v>0.57289999999999996</v>
      </c>
      <c r="DQ12" s="28">
        <v>0.45989999999999998</v>
      </c>
      <c r="DR12" s="28">
        <v>0.4244</v>
      </c>
      <c r="DS12" s="28">
        <v>0.36859999999999998</v>
      </c>
      <c r="DT12" s="28">
        <v>0.3987</v>
      </c>
      <c r="DU12" s="28">
        <v>0.4844</v>
      </c>
      <c r="DV12" s="32">
        <v>0.62709999999999999</v>
      </c>
    </row>
    <row r="13" spans="1:126" ht="24.95" customHeight="1" x14ac:dyDescent="0.3">
      <c r="A13" s="37"/>
      <c r="B13" s="11" t="s">
        <v>15</v>
      </c>
      <c r="C13" s="28">
        <v>0.72929999999999995</v>
      </c>
      <c r="D13" s="28">
        <v>0.84950000000000003</v>
      </c>
      <c r="E13" s="28">
        <v>1.0117</v>
      </c>
      <c r="F13" s="28">
        <v>1.5172000000000001</v>
      </c>
      <c r="G13" s="28">
        <v>1.6246</v>
      </c>
      <c r="H13" s="28">
        <v>1.6880999999999999</v>
      </c>
      <c r="I13" s="28">
        <v>1.4692000000000001</v>
      </c>
      <c r="J13" s="28">
        <v>1.4574</v>
      </c>
      <c r="K13" s="28">
        <v>1.3694999999999999</v>
      </c>
      <c r="L13" s="28">
        <v>1.0769</v>
      </c>
      <c r="M13" s="28">
        <v>0.66369999999999996</v>
      </c>
      <c r="N13" s="28">
        <v>0.51219999999999999</v>
      </c>
      <c r="O13" s="28">
        <v>0.46960000000000002</v>
      </c>
      <c r="P13" s="28">
        <v>0.4753</v>
      </c>
      <c r="Q13" s="28">
        <v>0.61599999999999999</v>
      </c>
      <c r="R13" s="28">
        <v>0.8649</v>
      </c>
      <c r="S13" s="28">
        <v>1.1884999999999999</v>
      </c>
      <c r="T13" s="28">
        <v>1.3393999999999999</v>
      </c>
      <c r="U13" s="28">
        <v>1.4450000000000001</v>
      </c>
      <c r="V13" s="28">
        <v>1.4705999999999999</v>
      </c>
      <c r="W13" s="28">
        <v>1.3812</v>
      </c>
      <c r="X13" s="28">
        <v>1.2684</v>
      </c>
      <c r="Y13" s="28">
        <v>0.59499999999999997</v>
      </c>
      <c r="Z13" s="28">
        <v>0.47520000000000001</v>
      </c>
      <c r="AA13" s="28">
        <v>0.443</v>
      </c>
      <c r="AB13" s="28">
        <v>0.47339999999999999</v>
      </c>
      <c r="AC13" s="28">
        <v>0.54930000000000001</v>
      </c>
      <c r="AD13" s="28">
        <v>0.93320000000000003</v>
      </c>
      <c r="AE13" s="28">
        <v>1.2630999999999999</v>
      </c>
      <c r="AF13" s="28">
        <v>1.3206</v>
      </c>
      <c r="AG13" s="28">
        <v>1.6</v>
      </c>
      <c r="AH13" s="28">
        <v>1.5979000000000001</v>
      </c>
      <c r="AI13" s="28">
        <v>1.5556000000000001</v>
      </c>
      <c r="AJ13" s="28">
        <v>1.1117999999999999</v>
      </c>
      <c r="AK13" s="28">
        <v>0.72509999999999997</v>
      </c>
      <c r="AL13" s="28">
        <v>0.53580000000000005</v>
      </c>
      <c r="AM13" s="28">
        <v>0.5202</v>
      </c>
      <c r="AN13" s="28">
        <v>0.57020000000000004</v>
      </c>
      <c r="AO13" s="28">
        <v>0.72560000000000002</v>
      </c>
      <c r="AP13" s="28">
        <v>0.92720000000000002</v>
      </c>
      <c r="AQ13" s="28">
        <v>1.3096000000000001</v>
      </c>
      <c r="AR13" s="28">
        <v>1.5618000000000001</v>
      </c>
      <c r="AS13" s="28">
        <v>0.69289999999999996</v>
      </c>
      <c r="AT13" s="28">
        <v>0.39240000000000003</v>
      </c>
      <c r="AU13" s="28">
        <v>1.1716</v>
      </c>
      <c r="AV13" s="28">
        <v>0.95369999999999999</v>
      </c>
      <c r="AW13" s="28">
        <v>0.42859999999999998</v>
      </c>
      <c r="AX13" s="28">
        <v>0.3175</v>
      </c>
      <c r="AY13" s="28">
        <v>0.27929999999999999</v>
      </c>
      <c r="AZ13" s="28">
        <v>3.5099999999999999E-2</v>
      </c>
      <c r="BA13" s="28">
        <v>4.5699999999999998E-2</v>
      </c>
      <c r="BB13" s="28">
        <v>5.8500000000000003E-2</v>
      </c>
      <c r="BC13" s="28">
        <v>8.77E-2</v>
      </c>
      <c r="BD13" s="28">
        <v>0.10730000000000001</v>
      </c>
      <c r="BE13" s="28">
        <v>9.8000000000000004E-2</v>
      </c>
      <c r="BF13" s="28">
        <v>0.11119999999999999</v>
      </c>
      <c r="BG13" s="28">
        <v>0.10630000000000001</v>
      </c>
      <c r="BH13" s="28">
        <v>0.1986</v>
      </c>
      <c r="BI13" s="28">
        <v>0.13489999999999999</v>
      </c>
      <c r="BJ13" s="28">
        <v>9.5500000000000002E-2</v>
      </c>
      <c r="BK13" s="28">
        <v>8.4599999999999995E-2</v>
      </c>
      <c r="BL13" s="28">
        <v>0.11310000000000001</v>
      </c>
      <c r="BM13" s="28">
        <v>0.1308</v>
      </c>
      <c r="BN13" s="28">
        <v>0.22220000000000001</v>
      </c>
      <c r="BO13" s="28">
        <v>0.30580000000000002</v>
      </c>
      <c r="BP13" s="28">
        <v>0.32690000000000002</v>
      </c>
      <c r="BQ13" s="28">
        <v>0.36959999999999998</v>
      </c>
      <c r="BR13" s="28">
        <v>0.41920000000000002</v>
      </c>
      <c r="BS13" s="28">
        <v>0.39539999999999997</v>
      </c>
      <c r="BT13" s="28">
        <v>0.27610000000000001</v>
      </c>
      <c r="BU13" s="28">
        <v>0.17510000000000001</v>
      </c>
      <c r="BV13" s="28">
        <v>0.12540000000000001</v>
      </c>
      <c r="BW13" s="28">
        <v>0.1</v>
      </c>
      <c r="BX13" s="28">
        <v>0.1037</v>
      </c>
      <c r="BY13" s="28">
        <v>0.1636</v>
      </c>
      <c r="BZ13" s="28">
        <v>0.25580000000000003</v>
      </c>
      <c r="CA13" s="28">
        <v>0.32279999999999998</v>
      </c>
      <c r="CB13" s="28">
        <v>0.35520000000000002</v>
      </c>
      <c r="CC13" s="28">
        <v>0.40739999999999998</v>
      </c>
      <c r="CD13" s="28">
        <v>0.41620000000000001</v>
      </c>
      <c r="CE13" s="28">
        <v>0.36940000000000001</v>
      </c>
      <c r="CF13" s="28">
        <v>0.29720000000000002</v>
      </c>
      <c r="CG13" s="28">
        <v>0.19850000000000001</v>
      </c>
      <c r="CH13" s="28">
        <v>7.3300000000000004E-2</v>
      </c>
      <c r="CI13" s="28">
        <v>4.0300000000000002E-2</v>
      </c>
      <c r="CJ13" s="28">
        <v>0.20710000000000001</v>
      </c>
      <c r="CK13" s="28">
        <v>0.16869999999999999</v>
      </c>
      <c r="CL13" s="28">
        <v>0.23380000000000001</v>
      </c>
      <c r="CM13" s="28">
        <v>0.29580000000000001</v>
      </c>
      <c r="CN13" s="28">
        <v>0.317</v>
      </c>
      <c r="CO13" s="28">
        <v>0.3392</v>
      </c>
      <c r="CP13" s="28">
        <v>0.35049999999999998</v>
      </c>
      <c r="CQ13" s="28">
        <v>0.3226</v>
      </c>
      <c r="CR13" s="28">
        <v>0.2465</v>
      </c>
      <c r="CS13" s="28">
        <v>0.3039</v>
      </c>
      <c r="CT13" s="28">
        <v>0.3014</v>
      </c>
      <c r="CU13" s="28">
        <v>0.251</v>
      </c>
      <c r="CV13" s="28">
        <v>0.29170000000000001</v>
      </c>
      <c r="CW13" s="28">
        <v>0.35260000000000002</v>
      </c>
      <c r="CX13" s="28">
        <v>0.62429999999999997</v>
      </c>
      <c r="CY13" s="28">
        <v>0.74729999999999996</v>
      </c>
      <c r="CZ13" s="28">
        <v>0.75129999999999997</v>
      </c>
      <c r="DA13" s="28">
        <v>0.90529999999999999</v>
      </c>
      <c r="DB13" s="28">
        <v>0.89610000000000001</v>
      </c>
      <c r="DC13" s="28">
        <v>0.97829999999999995</v>
      </c>
      <c r="DD13" s="28">
        <v>0.74529999999999996</v>
      </c>
      <c r="DE13" s="28">
        <v>0.44840000000000002</v>
      </c>
      <c r="DF13" s="28">
        <v>0.2878</v>
      </c>
      <c r="DG13" s="28">
        <v>0.27639999999999998</v>
      </c>
      <c r="DH13" s="28">
        <v>0.2218</v>
      </c>
      <c r="DI13" s="28">
        <v>0.35289999999999999</v>
      </c>
      <c r="DJ13" s="28">
        <v>0.52290000000000003</v>
      </c>
      <c r="DK13" s="28">
        <v>0.67430000000000001</v>
      </c>
      <c r="DL13" s="28">
        <v>0.8276</v>
      </c>
      <c r="DM13" s="28">
        <v>0.82709999999999995</v>
      </c>
      <c r="DN13" s="28">
        <v>0.88729999999999998</v>
      </c>
      <c r="DO13" s="28">
        <v>0.9224</v>
      </c>
      <c r="DP13" s="28">
        <v>0.76349999999999996</v>
      </c>
      <c r="DQ13" s="28">
        <v>0.40839999999999999</v>
      </c>
      <c r="DR13" s="28">
        <v>0.30270000000000002</v>
      </c>
      <c r="DS13" s="28">
        <v>0.22389999999999999</v>
      </c>
      <c r="DT13" s="28">
        <v>0.3049</v>
      </c>
      <c r="DU13" s="28">
        <v>0.40250000000000002</v>
      </c>
      <c r="DV13" s="32">
        <v>0.57499999999999996</v>
      </c>
    </row>
    <row r="14" spans="1:126" ht="24.95" customHeight="1" x14ac:dyDescent="0.3">
      <c r="A14" s="37"/>
      <c r="B14" s="11" t="s">
        <v>16</v>
      </c>
      <c r="C14" s="28">
        <v>0.6855</v>
      </c>
      <c r="D14" s="28">
        <v>0.61070000000000002</v>
      </c>
      <c r="E14" s="28">
        <v>0.58330000000000004</v>
      </c>
      <c r="F14" s="28">
        <v>0.44490000000000002</v>
      </c>
      <c r="G14" s="28">
        <v>0.1646</v>
      </c>
      <c r="H14" s="28">
        <v>2.64E-2</v>
      </c>
      <c r="I14" s="28">
        <v>0.57489999999999997</v>
      </c>
      <c r="J14" s="28">
        <v>2.81E-2</v>
      </c>
      <c r="K14" s="28">
        <v>2.7E-2</v>
      </c>
      <c r="L14" s="28">
        <v>2.6800000000000001E-2</v>
      </c>
      <c r="M14" s="28">
        <v>0.2077</v>
      </c>
      <c r="N14" s="28">
        <v>5.3499999999999999E-2</v>
      </c>
      <c r="O14" s="28">
        <v>1.46E-2</v>
      </c>
      <c r="P14" s="28">
        <v>1.1599999999999999E-2</v>
      </c>
      <c r="Q14" s="28">
        <v>1.89E-2</v>
      </c>
      <c r="R14" s="28">
        <v>2.52E-2</v>
      </c>
      <c r="S14" s="28">
        <v>1.6899999999999998E-2</v>
      </c>
      <c r="T14" s="28">
        <v>1.89E-2</v>
      </c>
      <c r="U14" s="28">
        <v>2.6599999999999999E-2</v>
      </c>
      <c r="V14" s="28">
        <v>2.8799999999999999E-2</v>
      </c>
      <c r="W14" s="28">
        <v>2.5600000000000001E-2</v>
      </c>
      <c r="X14" s="28">
        <v>2.06E-2</v>
      </c>
      <c r="Y14" s="28">
        <v>0.21410000000000001</v>
      </c>
      <c r="Z14" s="28">
        <v>0.19350000000000001</v>
      </c>
      <c r="AA14" s="28">
        <v>0.3896</v>
      </c>
      <c r="AB14" s="28">
        <v>0.1368</v>
      </c>
      <c r="AC14" s="28">
        <v>3.15E-2</v>
      </c>
      <c r="AD14" s="28">
        <v>3.0300000000000001E-2</v>
      </c>
      <c r="AE14" s="28">
        <v>1.5100000000000001E-2</v>
      </c>
      <c r="AF14" s="28">
        <v>2.1600000000000001E-2</v>
      </c>
      <c r="AG14" s="28">
        <v>3.2500000000000001E-2</v>
      </c>
      <c r="AH14" s="28">
        <v>0.26240000000000002</v>
      </c>
      <c r="AI14" s="28">
        <v>1.006</v>
      </c>
      <c r="AJ14" s="28">
        <v>1.24E-2</v>
      </c>
      <c r="AK14" s="28">
        <v>2.3E-2</v>
      </c>
      <c r="AL14" s="28">
        <v>6.8599999999999994E-2</v>
      </c>
      <c r="AM14" s="28">
        <v>8.3599999999999994E-2</v>
      </c>
      <c r="AN14" s="28">
        <v>0.13800000000000001</v>
      </c>
      <c r="AO14" s="28">
        <v>3.1699999999999999E-2</v>
      </c>
      <c r="AP14" s="28">
        <v>1.6E-2</v>
      </c>
      <c r="AQ14" s="28">
        <v>3.27E-2</v>
      </c>
      <c r="AR14" s="28">
        <v>1.9199999999999998E-2</v>
      </c>
      <c r="AS14" s="28">
        <v>2.81E-2</v>
      </c>
      <c r="AT14" s="28">
        <v>3.1300000000000001E-2</v>
      </c>
      <c r="AU14" s="28">
        <v>2.29E-2</v>
      </c>
      <c r="AV14" s="28">
        <v>1.8700000000000001E-2</v>
      </c>
      <c r="AW14" s="28">
        <v>7.2400000000000006E-2</v>
      </c>
      <c r="AX14" s="28">
        <v>6.7799999999999999E-2</v>
      </c>
      <c r="AY14" s="28">
        <v>9.1399999999999995E-2</v>
      </c>
      <c r="AZ14" s="28">
        <v>0.1893</v>
      </c>
      <c r="BA14" s="28">
        <v>2.3900000000000001E-2</v>
      </c>
      <c r="BB14" s="28">
        <v>0.22040000000000001</v>
      </c>
      <c r="BC14" s="28">
        <v>1.14E-2</v>
      </c>
      <c r="BD14" s="28">
        <v>2.12E-2</v>
      </c>
      <c r="BE14" s="28">
        <v>2.4E-2</v>
      </c>
      <c r="BF14" s="28">
        <v>3.1099999999999999E-2</v>
      </c>
      <c r="BG14" s="28">
        <v>2.63E-2</v>
      </c>
      <c r="BH14" s="28">
        <v>2.7799999999999998E-2</v>
      </c>
      <c r="BI14" s="28">
        <v>6.3600000000000004E-2</v>
      </c>
      <c r="BJ14" s="28">
        <v>0.28870000000000001</v>
      </c>
      <c r="BK14" s="28">
        <v>0.32950000000000002</v>
      </c>
      <c r="BL14" s="28">
        <v>0.16020000000000001</v>
      </c>
      <c r="BM14" s="28">
        <v>7.0999999999999994E-2</v>
      </c>
      <c r="BN14" s="28">
        <v>0.15670000000000001</v>
      </c>
      <c r="BO14" s="28">
        <v>1.2699999999999999E-2</v>
      </c>
      <c r="BP14" s="28">
        <v>1.5900000000000001E-2</v>
      </c>
      <c r="BQ14" s="28">
        <v>2.2200000000000001E-2</v>
      </c>
      <c r="BR14" s="28">
        <v>1.2500000000000001E-2</v>
      </c>
      <c r="BS14" s="28">
        <v>6.4999999999999997E-3</v>
      </c>
      <c r="BT14" s="28">
        <v>2.0400000000000001E-2</v>
      </c>
      <c r="BU14" s="28">
        <v>5.6399999999999999E-2</v>
      </c>
      <c r="BV14" s="28">
        <v>0.5927</v>
      </c>
      <c r="BW14" s="28">
        <v>0.70009999999999994</v>
      </c>
      <c r="BX14" s="28">
        <v>0.61350000000000005</v>
      </c>
      <c r="BY14" s="28">
        <v>0.57420000000000004</v>
      </c>
      <c r="BZ14" s="28">
        <v>0.34460000000000002</v>
      </c>
      <c r="CA14" s="28">
        <v>1.2699999999999999E-2</v>
      </c>
      <c r="CB14" s="28">
        <v>8.9700000000000002E-2</v>
      </c>
      <c r="CC14" s="28">
        <v>4.2900000000000001E-2</v>
      </c>
      <c r="CD14" s="28">
        <v>0.18779999999999999</v>
      </c>
      <c r="CE14" s="28">
        <v>0.26939999999999997</v>
      </c>
      <c r="CF14" s="28">
        <v>0.2107</v>
      </c>
      <c r="CG14" s="28">
        <v>0.19059999999999999</v>
      </c>
      <c r="CH14" s="28">
        <v>0.70830000000000004</v>
      </c>
      <c r="CI14" s="28">
        <v>0.89300000000000002</v>
      </c>
      <c r="CJ14" s="28">
        <v>0.60060000000000002</v>
      </c>
      <c r="CK14" s="28">
        <v>0.247</v>
      </c>
      <c r="CL14" s="28">
        <v>0.95469999999999999</v>
      </c>
      <c r="CM14" s="28">
        <v>0.70620000000000005</v>
      </c>
      <c r="CN14" s="28">
        <v>5.5100000000000003E-2</v>
      </c>
      <c r="CO14" s="28">
        <v>3.2500000000000001E-2</v>
      </c>
      <c r="CP14" s="28">
        <v>3.15E-2</v>
      </c>
      <c r="CQ14" s="28">
        <v>3.1E-2</v>
      </c>
      <c r="CR14" s="28">
        <v>0.34420000000000001</v>
      </c>
      <c r="CS14" s="28">
        <v>1.0999999999999999E-2</v>
      </c>
      <c r="CT14" s="28">
        <v>0.54069999999999996</v>
      </c>
      <c r="CU14" s="28">
        <v>0.82569999999999999</v>
      </c>
      <c r="CV14" s="28">
        <v>0.81220000000000003</v>
      </c>
      <c r="CW14" s="28">
        <v>0.62139999999999995</v>
      </c>
      <c r="CX14" s="28">
        <v>7.0999999999999994E-2</v>
      </c>
      <c r="CY14" s="28">
        <v>0.41370000000000001</v>
      </c>
      <c r="CZ14" s="28">
        <v>0.75390000000000001</v>
      </c>
      <c r="DA14" s="28">
        <v>1.5455000000000001</v>
      </c>
      <c r="DB14" s="28">
        <v>0.59530000000000005</v>
      </c>
      <c r="DC14" s="28">
        <v>3.5499999999999997E-2</v>
      </c>
      <c r="DD14" s="28">
        <v>4.7399999999999998E-2</v>
      </c>
      <c r="DE14" s="28">
        <v>9.5600000000000004E-2</v>
      </c>
      <c r="DF14" s="28">
        <v>0.1794</v>
      </c>
      <c r="DG14" s="28">
        <v>0.24660000000000001</v>
      </c>
      <c r="DH14" s="28">
        <v>0.113</v>
      </c>
      <c r="DI14" s="28">
        <v>0.47</v>
      </c>
      <c r="DJ14" s="28">
        <v>8.4699999999999998E-2</v>
      </c>
      <c r="DK14" s="28">
        <v>1.8599999999999998E-2</v>
      </c>
      <c r="DL14" s="28">
        <v>3.95E-2</v>
      </c>
      <c r="DM14" s="28">
        <v>5.28E-2</v>
      </c>
      <c r="DN14" s="28">
        <v>3.0200000000000001E-2</v>
      </c>
      <c r="DO14" s="28">
        <v>2.76E-2</v>
      </c>
      <c r="DP14" s="28">
        <v>0.33629999999999999</v>
      </c>
      <c r="DQ14" s="28">
        <v>0.4355</v>
      </c>
      <c r="DR14" s="28">
        <v>0.20960000000000001</v>
      </c>
      <c r="DS14" s="28">
        <v>0.16009999999999999</v>
      </c>
      <c r="DT14" s="28">
        <v>2.23E-2</v>
      </c>
      <c r="DU14" s="28">
        <v>5.2900000000000003E-2</v>
      </c>
      <c r="DV14" s="32">
        <v>0.3291</v>
      </c>
    </row>
    <row r="15" spans="1:126" ht="24.95" customHeight="1" x14ac:dyDescent="0.3">
      <c r="A15" s="38"/>
      <c r="B15" s="12" t="s">
        <v>17</v>
      </c>
      <c r="C15" s="30">
        <v>8.6499999999999994E-2</v>
      </c>
      <c r="D15" s="30">
        <v>8.6999999999999994E-2</v>
      </c>
      <c r="E15" s="30">
        <v>7.8600000000000003E-2</v>
      </c>
      <c r="F15" s="30">
        <v>4.1799999999999997E-2</v>
      </c>
      <c r="G15" s="30">
        <v>1.9800000000000002E-2</v>
      </c>
      <c r="H15" s="30">
        <v>2.07E-2</v>
      </c>
      <c r="I15" s="30">
        <v>2.3699999999999999E-2</v>
      </c>
      <c r="J15" s="30">
        <v>3.2300000000000002E-2</v>
      </c>
      <c r="K15" s="30">
        <v>3.2300000000000002E-2</v>
      </c>
      <c r="L15" s="30">
        <v>2.9399999999999999E-2</v>
      </c>
      <c r="M15" s="30">
        <v>7.9200000000000007E-2</v>
      </c>
      <c r="N15" s="30">
        <v>8.5400000000000004E-2</v>
      </c>
      <c r="O15" s="30">
        <v>9.7299999999999998E-2</v>
      </c>
      <c r="P15" s="30">
        <v>0.1114</v>
      </c>
      <c r="Q15" s="30">
        <v>0.10489999999999999</v>
      </c>
      <c r="R15" s="30">
        <v>5.3800000000000001E-2</v>
      </c>
      <c r="S15" s="30">
        <v>4.0599999999999997E-2</v>
      </c>
      <c r="T15" s="30">
        <v>3.3000000000000002E-2</v>
      </c>
      <c r="U15" s="30">
        <v>3.1300000000000001E-2</v>
      </c>
      <c r="V15" s="30">
        <v>4.6800000000000001E-2</v>
      </c>
      <c r="W15" s="30">
        <v>4.3200000000000002E-2</v>
      </c>
      <c r="X15" s="30">
        <v>5.1299999999999998E-2</v>
      </c>
      <c r="Y15" s="30">
        <v>0.1019</v>
      </c>
      <c r="Z15" s="30">
        <v>0.1285</v>
      </c>
      <c r="AA15" s="30">
        <v>0.14879999999999999</v>
      </c>
      <c r="AB15" s="30">
        <v>0.14219999999999999</v>
      </c>
      <c r="AC15" s="30">
        <v>0.1221</v>
      </c>
      <c r="AD15" s="30">
        <v>8.3699999999999997E-2</v>
      </c>
      <c r="AE15" s="30">
        <v>6.3799999999999996E-2</v>
      </c>
      <c r="AF15" s="30">
        <v>5.8099999999999999E-2</v>
      </c>
      <c r="AG15" s="30">
        <v>4.99E-2</v>
      </c>
      <c r="AH15" s="30">
        <v>5.33E-2</v>
      </c>
      <c r="AI15" s="30">
        <v>5.8500000000000003E-2</v>
      </c>
      <c r="AJ15" s="30">
        <v>7.9399999999999998E-2</v>
      </c>
      <c r="AK15" s="30">
        <v>0.15160000000000001</v>
      </c>
      <c r="AL15" s="30">
        <v>0.1681</v>
      </c>
      <c r="AM15" s="30">
        <v>0.17649999999999999</v>
      </c>
      <c r="AN15" s="30">
        <v>0.1729</v>
      </c>
      <c r="AO15" s="30">
        <v>0.1434</v>
      </c>
      <c r="AP15" s="30">
        <v>0.13239999999999999</v>
      </c>
      <c r="AQ15" s="30">
        <v>6.8699999999999997E-2</v>
      </c>
      <c r="AR15" s="30">
        <v>7.0699999999999999E-2</v>
      </c>
      <c r="AS15" s="30">
        <v>8.5000000000000006E-2</v>
      </c>
      <c r="AT15" s="30">
        <v>5.1400000000000001E-2</v>
      </c>
      <c r="AU15" s="30">
        <v>6.2100000000000002E-2</v>
      </c>
      <c r="AV15" s="30">
        <v>7.0900000000000005E-2</v>
      </c>
      <c r="AW15" s="30">
        <v>0.12180000000000001</v>
      </c>
      <c r="AX15" s="30">
        <v>0.1623</v>
      </c>
      <c r="AY15" s="30">
        <v>0.1827</v>
      </c>
      <c r="AZ15" s="30">
        <v>0.1676</v>
      </c>
      <c r="BA15" s="30">
        <v>0.17499999999999999</v>
      </c>
      <c r="BB15" s="30">
        <v>0.1666</v>
      </c>
      <c r="BC15" s="30">
        <v>8.8400000000000006E-2</v>
      </c>
      <c r="BD15" s="30">
        <v>7.6499999999999999E-2</v>
      </c>
      <c r="BE15" s="30">
        <v>6.7500000000000004E-2</v>
      </c>
      <c r="BF15" s="30">
        <v>6.1800000000000001E-2</v>
      </c>
      <c r="BG15" s="30">
        <v>6.8000000000000005E-2</v>
      </c>
      <c r="BH15" s="30">
        <v>9.4399999999999998E-2</v>
      </c>
      <c r="BI15" s="30">
        <v>0.12720000000000001</v>
      </c>
      <c r="BJ15" s="30">
        <v>0.16700000000000001</v>
      </c>
      <c r="BK15" s="30">
        <v>0.16400000000000001</v>
      </c>
      <c r="BL15" s="30">
        <v>0.1784</v>
      </c>
      <c r="BM15" s="30">
        <v>0.1736</v>
      </c>
      <c r="BN15" s="30">
        <v>6.3100000000000003E-2</v>
      </c>
      <c r="BO15" s="30">
        <v>6.1499999999999999E-2</v>
      </c>
      <c r="BP15" s="30">
        <v>6.8000000000000005E-2</v>
      </c>
      <c r="BQ15" s="30">
        <v>5.5800000000000002E-2</v>
      </c>
      <c r="BR15" s="30">
        <v>6.59E-2</v>
      </c>
      <c r="BS15" s="30">
        <v>5.7500000000000002E-2</v>
      </c>
      <c r="BT15" s="30">
        <v>8.5999999999999993E-2</v>
      </c>
      <c r="BU15" s="30">
        <v>0.14480000000000001</v>
      </c>
      <c r="BV15" s="30">
        <v>0.1724</v>
      </c>
      <c r="BW15" s="30">
        <v>0.14910000000000001</v>
      </c>
      <c r="BX15" s="30">
        <v>0.1875</v>
      </c>
      <c r="BY15" s="30">
        <v>0.1462</v>
      </c>
      <c r="BZ15" s="30">
        <v>8.5599999999999996E-2</v>
      </c>
      <c r="CA15" s="30">
        <v>7.0099999999999996E-2</v>
      </c>
      <c r="CB15" s="30">
        <v>6.13E-2</v>
      </c>
      <c r="CC15" s="30">
        <v>5.5599999999999997E-2</v>
      </c>
      <c r="CD15" s="30">
        <v>7.4399999999999994E-2</v>
      </c>
      <c r="CE15" s="30">
        <v>6.3799999999999996E-2</v>
      </c>
      <c r="CF15" s="30">
        <v>8.1699999999999995E-2</v>
      </c>
      <c r="CG15" s="30">
        <v>0.14960000000000001</v>
      </c>
      <c r="CH15" s="30">
        <v>0.15970000000000001</v>
      </c>
      <c r="CI15" s="30">
        <v>0.1663</v>
      </c>
      <c r="CJ15" s="30">
        <v>0.1928</v>
      </c>
      <c r="CK15" s="30">
        <v>0.1239</v>
      </c>
      <c r="CL15" s="30">
        <v>6.6000000000000003E-2</v>
      </c>
      <c r="CM15" s="30">
        <v>6.2899999999999998E-2</v>
      </c>
      <c r="CN15" s="30">
        <v>8.8599999999999998E-2</v>
      </c>
      <c r="CO15" s="30">
        <v>9.5000000000000001E-2</v>
      </c>
      <c r="CP15" s="30">
        <v>0.1007</v>
      </c>
      <c r="CQ15" s="30">
        <v>5.62E-2</v>
      </c>
      <c r="CR15" s="30">
        <v>0.1024</v>
      </c>
      <c r="CS15" s="30">
        <v>0.15770000000000001</v>
      </c>
      <c r="CT15" s="30">
        <v>0.1653</v>
      </c>
      <c r="CU15" s="30">
        <v>0.17280000000000001</v>
      </c>
      <c r="CV15" s="30">
        <v>0.1663</v>
      </c>
      <c r="CW15" s="30">
        <v>0.16470000000000001</v>
      </c>
      <c r="CX15" s="30">
        <v>0.1129</v>
      </c>
      <c r="CY15" s="30">
        <v>0.16189999999999999</v>
      </c>
      <c r="CZ15" s="30">
        <v>9.5699999999999993E-2</v>
      </c>
      <c r="DA15" s="30">
        <v>7.7499999999999999E-2</v>
      </c>
      <c r="DB15" s="30">
        <v>6.6600000000000006E-2</v>
      </c>
      <c r="DC15" s="30">
        <v>7.5800000000000006E-2</v>
      </c>
      <c r="DD15" s="30">
        <v>9.5000000000000001E-2</v>
      </c>
      <c r="DE15" s="30">
        <v>0.1091</v>
      </c>
      <c r="DF15" s="30">
        <v>0.15970000000000001</v>
      </c>
      <c r="DG15" s="30">
        <v>0.16980000000000001</v>
      </c>
      <c r="DH15" s="30">
        <v>0.1595</v>
      </c>
      <c r="DI15" s="30">
        <v>0.13750000000000001</v>
      </c>
      <c r="DJ15" s="30">
        <v>7.8899999999999998E-2</v>
      </c>
      <c r="DK15" s="30">
        <v>8.9099999999999999E-2</v>
      </c>
      <c r="DL15" s="30">
        <v>9.0700000000000003E-2</v>
      </c>
      <c r="DM15" s="30">
        <v>8.1000000000000003E-2</v>
      </c>
      <c r="DN15" s="30">
        <v>8.3799999999999999E-2</v>
      </c>
      <c r="DO15" s="30">
        <v>9.8400000000000001E-2</v>
      </c>
      <c r="DP15" s="30">
        <v>9.3700000000000006E-2</v>
      </c>
      <c r="DQ15" s="30">
        <v>0.12989999999999999</v>
      </c>
      <c r="DR15" s="30">
        <v>0.15040000000000001</v>
      </c>
      <c r="DS15" s="30">
        <v>0.1517</v>
      </c>
      <c r="DT15" s="30">
        <v>0.1605</v>
      </c>
      <c r="DU15" s="30">
        <v>0.15790000000000001</v>
      </c>
      <c r="DV15" s="33">
        <v>0.104</v>
      </c>
    </row>
    <row r="16" spans="1:126" ht="35.1" customHeight="1" thickBot="1" x14ac:dyDescent="0.35">
      <c r="A16" s="42" t="s">
        <v>2</v>
      </c>
      <c r="B16" s="43"/>
      <c r="C16" s="7">
        <f t="shared" ref="C16:AH16" si="2">SUM(C7:C15)</f>
        <v>33.989800000000002</v>
      </c>
      <c r="D16" s="7">
        <f t="shared" si="2"/>
        <v>34.482300000000002</v>
      </c>
      <c r="E16" s="7">
        <f t="shared" si="2"/>
        <v>41.847100000000005</v>
      </c>
      <c r="F16" s="7">
        <f t="shared" si="2"/>
        <v>51.104600000000005</v>
      </c>
      <c r="G16" s="7">
        <f t="shared" si="2"/>
        <v>64.383999999999986</v>
      </c>
      <c r="H16" s="7">
        <f t="shared" si="2"/>
        <v>71.860399999999998</v>
      </c>
      <c r="I16" s="7">
        <f t="shared" si="2"/>
        <v>75.450300000000013</v>
      </c>
      <c r="J16" s="7">
        <f t="shared" si="2"/>
        <v>78.937700000000007</v>
      </c>
      <c r="K16" s="7">
        <f t="shared" si="2"/>
        <v>71.396600000000007</v>
      </c>
      <c r="L16" s="7">
        <f t="shared" si="2"/>
        <v>58.461000000000006</v>
      </c>
      <c r="M16" s="7">
        <f t="shared" si="2"/>
        <v>43.799399999999999</v>
      </c>
      <c r="N16" s="7">
        <f t="shared" si="2"/>
        <v>36.556999999999995</v>
      </c>
      <c r="O16" s="7">
        <f t="shared" si="2"/>
        <v>31.906100000000002</v>
      </c>
      <c r="P16" s="7">
        <f t="shared" si="2"/>
        <v>34.827700000000007</v>
      </c>
      <c r="Q16" s="7">
        <f t="shared" si="2"/>
        <v>39.830800000000011</v>
      </c>
      <c r="R16" s="7">
        <f t="shared" si="2"/>
        <v>51.293099999999995</v>
      </c>
      <c r="S16" s="7">
        <f t="shared" si="2"/>
        <v>64.787400000000005</v>
      </c>
      <c r="T16" s="7">
        <f t="shared" si="2"/>
        <v>71.525599999999997</v>
      </c>
      <c r="U16" s="7">
        <f t="shared" si="2"/>
        <v>77.23490000000001</v>
      </c>
      <c r="V16" s="7">
        <f t="shared" si="2"/>
        <v>78.087700000000012</v>
      </c>
      <c r="W16" s="7">
        <f t="shared" si="2"/>
        <v>74.8048</v>
      </c>
      <c r="X16" s="7">
        <f t="shared" si="2"/>
        <v>54.440200000000004</v>
      </c>
      <c r="Y16" s="7">
        <f t="shared" si="2"/>
        <v>40.080100000000002</v>
      </c>
      <c r="Z16" s="7">
        <f t="shared" si="2"/>
        <v>32.576800000000006</v>
      </c>
      <c r="AA16" s="7">
        <f t="shared" si="2"/>
        <v>31.230800000000006</v>
      </c>
      <c r="AB16" s="7">
        <f t="shared" si="2"/>
        <v>30.663399999999999</v>
      </c>
      <c r="AC16" s="7">
        <f t="shared" si="2"/>
        <v>39.218500000000006</v>
      </c>
      <c r="AD16" s="7">
        <f t="shared" si="2"/>
        <v>50.119199999999999</v>
      </c>
      <c r="AE16" s="7">
        <f t="shared" si="2"/>
        <v>61.8215</v>
      </c>
      <c r="AF16" s="7">
        <f t="shared" si="2"/>
        <v>71.597699999999989</v>
      </c>
      <c r="AG16" s="7">
        <f t="shared" si="2"/>
        <v>76.256499999999988</v>
      </c>
      <c r="AH16" s="7">
        <f t="shared" si="2"/>
        <v>79.216899999999995</v>
      </c>
      <c r="AI16" s="7">
        <f t="shared" ref="AI16:BN16" si="3">SUM(AI7:AI15)</f>
        <v>69.485399999999998</v>
      </c>
      <c r="AJ16" s="7">
        <f t="shared" si="3"/>
        <v>52.425199999999997</v>
      </c>
      <c r="AK16" s="7">
        <f t="shared" si="3"/>
        <v>40.6599</v>
      </c>
      <c r="AL16" s="7">
        <f t="shared" si="3"/>
        <v>31.913600000000002</v>
      </c>
      <c r="AM16" s="7">
        <f t="shared" si="3"/>
        <v>31.476200000000002</v>
      </c>
      <c r="AN16" s="7">
        <f t="shared" si="3"/>
        <v>30.441300000000002</v>
      </c>
      <c r="AO16" s="7">
        <f t="shared" si="3"/>
        <v>38.715299999999999</v>
      </c>
      <c r="AP16" s="7">
        <f t="shared" si="3"/>
        <v>46.965299999999992</v>
      </c>
      <c r="AQ16" s="7">
        <f t="shared" si="3"/>
        <v>63.530600000000014</v>
      </c>
      <c r="AR16" s="7">
        <f t="shared" si="3"/>
        <v>69.065200000000019</v>
      </c>
      <c r="AS16" s="7">
        <f t="shared" si="3"/>
        <v>73.410999999999987</v>
      </c>
      <c r="AT16" s="7">
        <f t="shared" si="3"/>
        <v>76.555999999999997</v>
      </c>
      <c r="AU16" s="7">
        <f t="shared" si="3"/>
        <v>70.828199999999995</v>
      </c>
      <c r="AV16" s="7">
        <f t="shared" si="3"/>
        <v>57.899000000000001</v>
      </c>
      <c r="AW16" s="7">
        <f t="shared" si="3"/>
        <v>41.960999999999999</v>
      </c>
      <c r="AX16" s="7">
        <f t="shared" si="3"/>
        <v>32.517099999999999</v>
      </c>
      <c r="AY16" s="7">
        <f t="shared" si="3"/>
        <v>30.964399999999998</v>
      </c>
      <c r="AZ16" s="7">
        <f t="shared" si="3"/>
        <v>32.014699999999998</v>
      </c>
      <c r="BA16" s="7">
        <f t="shared" si="3"/>
        <v>35.569299999999991</v>
      </c>
      <c r="BB16" s="7">
        <f t="shared" si="3"/>
        <v>38.935500000000005</v>
      </c>
      <c r="BC16" s="7">
        <f t="shared" si="3"/>
        <v>54.699900000000007</v>
      </c>
      <c r="BD16" s="7">
        <f t="shared" si="3"/>
        <v>66.298899999999989</v>
      </c>
      <c r="BE16" s="7">
        <f t="shared" si="3"/>
        <v>67.448800000000006</v>
      </c>
      <c r="BF16" s="7">
        <f t="shared" si="3"/>
        <v>71.249199999999988</v>
      </c>
      <c r="BG16" s="7">
        <f t="shared" si="3"/>
        <v>67.00830000000002</v>
      </c>
      <c r="BH16" s="7">
        <f t="shared" si="3"/>
        <v>50.940400000000004</v>
      </c>
      <c r="BI16" s="7">
        <f t="shared" si="3"/>
        <v>38.768100000000004</v>
      </c>
      <c r="BJ16" s="7">
        <f t="shared" si="3"/>
        <v>29.763800000000003</v>
      </c>
      <c r="BK16" s="7">
        <f t="shared" si="3"/>
        <v>27.717799999999997</v>
      </c>
      <c r="BL16" s="7">
        <f t="shared" si="3"/>
        <v>29.769699999999997</v>
      </c>
      <c r="BM16" s="7">
        <f t="shared" si="3"/>
        <v>36.785900000000005</v>
      </c>
      <c r="BN16" s="7">
        <f t="shared" si="3"/>
        <v>46.321199999999997</v>
      </c>
      <c r="BO16" s="7">
        <f t="shared" ref="BO16:CT16" si="4">SUM(BO7:BO15)</f>
        <v>56.867600000000003</v>
      </c>
      <c r="BP16" s="7">
        <f t="shared" si="4"/>
        <v>67.327299999999994</v>
      </c>
      <c r="BQ16" s="7">
        <f t="shared" si="4"/>
        <v>73.208100000000016</v>
      </c>
      <c r="BR16" s="7">
        <f t="shared" si="4"/>
        <v>73.063400000000001</v>
      </c>
      <c r="BS16" s="7">
        <f t="shared" si="4"/>
        <v>68.042800000000014</v>
      </c>
      <c r="BT16" s="7">
        <f t="shared" si="4"/>
        <v>53.433800000000005</v>
      </c>
      <c r="BU16" s="7">
        <f t="shared" si="4"/>
        <v>37.543899999999994</v>
      </c>
      <c r="BV16" s="7">
        <f t="shared" si="4"/>
        <v>30.429799999999997</v>
      </c>
      <c r="BW16" s="7">
        <f t="shared" si="4"/>
        <v>27.642800000000001</v>
      </c>
      <c r="BX16" s="7">
        <f t="shared" si="4"/>
        <v>27.259499999999999</v>
      </c>
      <c r="BY16" s="7">
        <f t="shared" si="4"/>
        <v>35.313900000000004</v>
      </c>
      <c r="BZ16" s="7">
        <f t="shared" si="4"/>
        <v>47.461399999999998</v>
      </c>
      <c r="CA16" s="7">
        <f t="shared" si="4"/>
        <v>60.556400000000004</v>
      </c>
      <c r="CB16" s="7">
        <f t="shared" si="4"/>
        <v>69.444299999999998</v>
      </c>
      <c r="CC16" s="7">
        <f t="shared" si="4"/>
        <v>76.996499999999983</v>
      </c>
      <c r="CD16" s="7">
        <f t="shared" si="4"/>
        <v>76.163799999999995</v>
      </c>
      <c r="CE16" s="7">
        <f t="shared" si="4"/>
        <v>68.435900000000004</v>
      </c>
      <c r="CF16" s="7">
        <f t="shared" si="4"/>
        <v>51.397099999999995</v>
      </c>
      <c r="CG16" s="7">
        <f t="shared" si="4"/>
        <v>39.036600000000014</v>
      </c>
      <c r="CH16" s="7">
        <f t="shared" si="4"/>
        <v>28.184500000000003</v>
      </c>
      <c r="CI16" s="7">
        <f t="shared" si="4"/>
        <v>26.497399999999999</v>
      </c>
      <c r="CJ16" s="7">
        <f t="shared" si="4"/>
        <v>30.777899999999999</v>
      </c>
      <c r="CK16" s="7">
        <f t="shared" si="4"/>
        <v>38.9709</v>
      </c>
      <c r="CL16" s="7">
        <f t="shared" si="4"/>
        <v>47.719600000000007</v>
      </c>
      <c r="CM16" s="7">
        <f t="shared" si="4"/>
        <v>58.873100000000001</v>
      </c>
      <c r="CN16" s="7">
        <f t="shared" si="4"/>
        <v>69.059399999999982</v>
      </c>
      <c r="CO16" s="7">
        <f t="shared" si="4"/>
        <v>71.773099999999999</v>
      </c>
      <c r="CP16" s="7">
        <f t="shared" si="4"/>
        <v>75.359300000000005</v>
      </c>
      <c r="CQ16" s="7">
        <f t="shared" si="4"/>
        <v>70.733100000000007</v>
      </c>
      <c r="CR16" s="7">
        <f t="shared" si="4"/>
        <v>55.056999999999995</v>
      </c>
      <c r="CS16" s="7">
        <f t="shared" si="4"/>
        <v>37.2346</v>
      </c>
      <c r="CT16" s="7">
        <f t="shared" si="4"/>
        <v>29.7239</v>
      </c>
      <c r="CU16" s="7">
        <f t="shared" ref="CU16:DV16" si="5">SUM(CU7:CU15)</f>
        <v>28.6858</v>
      </c>
      <c r="CV16" s="7">
        <f t="shared" si="5"/>
        <v>29.204899999999999</v>
      </c>
      <c r="CW16" s="7">
        <f t="shared" si="5"/>
        <v>34.380300000000005</v>
      </c>
      <c r="CX16" s="7">
        <f t="shared" si="5"/>
        <v>48.639099999999999</v>
      </c>
      <c r="CY16" s="7">
        <f t="shared" si="5"/>
        <v>59.763999999999996</v>
      </c>
      <c r="CZ16" s="7">
        <f t="shared" si="5"/>
        <v>68.345100000000002</v>
      </c>
      <c r="DA16" s="7">
        <f t="shared" si="5"/>
        <v>72.789100000000005</v>
      </c>
      <c r="DB16" s="7">
        <f t="shared" si="5"/>
        <v>75.838999999999999</v>
      </c>
      <c r="DC16" s="7">
        <f t="shared" si="5"/>
        <v>72.138099999999994</v>
      </c>
      <c r="DD16" s="7">
        <f t="shared" si="5"/>
        <v>57.4878</v>
      </c>
      <c r="DE16" s="7">
        <f t="shared" si="5"/>
        <v>39.937599999999989</v>
      </c>
      <c r="DF16" s="7">
        <f t="shared" si="5"/>
        <v>28.691700000000001</v>
      </c>
      <c r="DG16" s="7">
        <f t="shared" si="5"/>
        <v>25.266399999999997</v>
      </c>
      <c r="DH16" s="7">
        <f t="shared" si="5"/>
        <v>27.506900000000002</v>
      </c>
      <c r="DI16" s="7">
        <f t="shared" si="5"/>
        <v>33.702099999999994</v>
      </c>
      <c r="DJ16" s="7">
        <f t="shared" si="5"/>
        <v>45.959999999999994</v>
      </c>
      <c r="DK16" s="7">
        <f t="shared" si="5"/>
        <v>55.536700000000003</v>
      </c>
      <c r="DL16" s="7">
        <f t="shared" si="5"/>
        <v>67.148400000000009</v>
      </c>
      <c r="DM16" s="7">
        <f t="shared" si="5"/>
        <v>74.218800000000002</v>
      </c>
      <c r="DN16" s="7">
        <f t="shared" si="5"/>
        <v>75.834199999999981</v>
      </c>
      <c r="DO16" s="7">
        <f t="shared" si="5"/>
        <v>73.636900000000011</v>
      </c>
      <c r="DP16" s="7">
        <f t="shared" si="5"/>
        <v>54.860500000000002</v>
      </c>
      <c r="DQ16" s="7">
        <f t="shared" si="5"/>
        <v>37.895399999999995</v>
      </c>
      <c r="DR16" s="7">
        <f t="shared" si="5"/>
        <v>28.214200000000002</v>
      </c>
      <c r="DS16" s="7">
        <f t="shared" si="5"/>
        <v>26.149200000000004</v>
      </c>
      <c r="DT16" s="7">
        <f t="shared" si="5"/>
        <v>27.284099999999999</v>
      </c>
      <c r="DU16" s="7">
        <f t="shared" si="5"/>
        <v>34.314400000000006</v>
      </c>
      <c r="DV16" s="8">
        <f t="shared" si="5"/>
        <v>47.565399999999997</v>
      </c>
    </row>
    <row r="17" spans="1:126" ht="39.950000000000003" customHeight="1" thickTop="1" thickBot="1" x14ac:dyDescent="0.35">
      <c r="A17" s="35" t="s">
        <v>18</v>
      </c>
      <c r="B17" s="36"/>
      <c r="C17" s="9">
        <f t="shared" ref="C17:AH17" si="6">+C6+C16</f>
        <v>100</v>
      </c>
      <c r="D17" s="9">
        <f t="shared" si="6"/>
        <v>100</v>
      </c>
      <c r="E17" s="9">
        <f t="shared" si="6"/>
        <v>100</v>
      </c>
      <c r="F17" s="9">
        <f t="shared" si="6"/>
        <v>100</v>
      </c>
      <c r="G17" s="9">
        <f t="shared" si="6"/>
        <v>99.999999999999972</v>
      </c>
      <c r="H17" s="9">
        <f t="shared" si="6"/>
        <v>100</v>
      </c>
      <c r="I17" s="9">
        <f t="shared" si="6"/>
        <v>100.00000000000001</v>
      </c>
      <c r="J17" s="9">
        <f t="shared" si="6"/>
        <v>100</v>
      </c>
      <c r="K17" s="9">
        <f t="shared" si="6"/>
        <v>100</v>
      </c>
      <c r="L17" s="9">
        <f t="shared" si="6"/>
        <v>100</v>
      </c>
      <c r="M17" s="9">
        <f t="shared" si="6"/>
        <v>100</v>
      </c>
      <c r="N17" s="9">
        <f t="shared" si="6"/>
        <v>99.999999999999986</v>
      </c>
      <c r="O17" s="9">
        <f t="shared" si="6"/>
        <v>100</v>
      </c>
      <c r="P17" s="9">
        <f t="shared" si="6"/>
        <v>100.00000000000001</v>
      </c>
      <c r="Q17" s="9">
        <f t="shared" si="6"/>
        <v>100.00000000000001</v>
      </c>
      <c r="R17" s="9">
        <f t="shared" si="6"/>
        <v>100</v>
      </c>
      <c r="S17" s="9">
        <f t="shared" si="6"/>
        <v>100</v>
      </c>
      <c r="T17" s="9">
        <f t="shared" si="6"/>
        <v>100</v>
      </c>
      <c r="U17" s="9">
        <f t="shared" si="6"/>
        <v>100</v>
      </c>
      <c r="V17" s="9">
        <f t="shared" si="6"/>
        <v>100.00000000000001</v>
      </c>
      <c r="W17" s="9">
        <f t="shared" si="6"/>
        <v>100</v>
      </c>
      <c r="X17" s="9">
        <f t="shared" si="6"/>
        <v>100</v>
      </c>
      <c r="Y17" s="9">
        <f t="shared" si="6"/>
        <v>100</v>
      </c>
      <c r="Z17" s="9">
        <f t="shared" si="6"/>
        <v>100</v>
      </c>
      <c r="AA17" s="9">
        <f t="shared" si="6"/>
        <v>100</v>
      </c>
      <c r="AB17" s="9">
        <f t="shared" si="6"/>
        <v>100</v>
      </c>
      <c r="AC17" s="9">
        <f t="shared" si="6"/>
        <v>100</v>
      </c>
      <c r="AD17" s="9">
        <f t="shared" si="6"/>
        <v>100</v>
      </c>
      <c r="AE17" s="9">
        <f t="shared" si="6"/>
        <v>100</v>
      </c>
      <c r="AF17" s="9">
        <f t="shared" si="6"/>
        <v>99.999999999999986</v>
      </c>
      <c r="AG17" s="9">
        <f t="shared" si="6"/>
        <v>99.999999999999986</v>
      </c>
      <c r="AH17" s="9">
        <f t="shared" si="6"/>
        <v>100</v>
      </c>
      <c r="AI17" s="9">
        <f t="shared" ref="AI17:BN17" si="7">+AI6+AI16</f>
        <v>100</v>
      </c>
      <c r="AJ17" s="9">
        <f t="shared" si="7"/>
        <v>100</v>
      </c>
      <c r="AK17" s="9">
        <f t="shared" si="7"/>
        <v>100</v>
      </c>
      <c r="AL17" s="9">
        <f t="shared" si="7"/>
        <v>100</v>
      </c>
      <c r="AM17" s="9">
        <f t="shared" si="7"/>
        <v>100</v>
      </c>
      <c r="AN17" s="9">
        <f t="shared" si="7"/>
        <v>100.00000000000001</v>
      </c>
      <c r="AO17" s="9">
        <f t="shared" si="7"/>
        <v>100</v>
      </c>
      <c r="AP17" s="9">
        <f t="shared" si="7"/>
        <v>100</v>
      </c>
      <c r="AQ17" s="9">
        <f t="shared" si="7"/>
        <v>100.00000000000001</v>
      </c>
      <c r="AR17" s="9">
        <f t="shared" si="7"/>
        <v>100.00000000000001</v>
      </c>
      <c r="AS17" s="9">
        <f t="shared" si="7"/>
        <v>99.999999999999986</v>
      </c>
      <c r="AT17" s="9">
        <f t="shared" si="7"/>
        <v>100</v>
      </c>
      <c r="AU17" s="9">
        <f t="shared" si="7"/>
        <v>100</v>
      </c>
      <c r="AV17" s="9">
        <f t="shared" si="7"/>
        <v>100</v>
      </c>
      <c r="AW17" s="9">
        <f t="shared" si="7"/>
        <v>100</v>
      </c>
      <c r="AX17" s="9">
        <f t="shared" si="7"/>
        <v>99.999999999999986</v>
      </c>
      <c r="AY17" s="9">
        <f t="shared" si="7"/>
        <v>100</v>
      </c>
      <c r="AZ17" s="9">
        <f t="shared" si="7"/>
        <v>100</v>
      </c>
      <c r="BA17" s="9">
        <f t="shared" si="7"/>
        <v>100</v>
      </c>
      <c r="BB17" s="9">
        <f t="shared" si="7"/>
        <v>100</v>
      </c>
      <c r="BC17" s="9">
        <f t="shared" si="7"/>
        <v>100.00000000000001</v>
      </c>
      <c r="BD17" s="9">
        <f t="shared" si="7"/>
        <v>100</v>
      </c>
      <c r="BE17" s="9">
        <f t="shared" si="7"/>
        <v>100</v>
      </c>
      <c r="BF17" s="9">
        <f t="shared" si="7"/>
        <v>99.999999999999986</v>
      </c>
      <c r="BG17" s="9">
        <f t="shared" si="7"/>
        <v>100.00000000000003</v>
      </c>
      <c r="BH17" s="9">
        <f t="shared" si="7"/>
        <v>100</v>
      </c>
      <c r="BI17" s="9">
        <f t="shared" si="7"/>
        <v>100</v>
      </c>
      <c r="BJ17" s="9">
        <f t="shared" si="7"/>
        <v>100</v>
      </c>
      <c r="BK17" s="9">
        <f t="shared" si="7"/>
        <v>99.999999999999986</v>
      </c>
      <c r="BL17" s="9">
        <f t="shared" si="7"/>
        <v>100</v>
      </c>
      <c r="BM17" s="9">
        <f t="shared" si="7"/>
        <v>100</v>
      </c>
      <c r="BN17" s="9">
        <f t="shared" si="7"/>
        <v>100</v>
      </c>
      <c r="BO17" s="9">
        <f t="shared" ref="BO17:CT17" si="8">+BO6+BO16</f>
        <v>100</v>
      </c>
      <c r="BP17" s="9">
        <f t="shared" si="8"/>
        <v>100</v>
      </c>
      <c r="BQ17" s="9">
        <f t="shared" si="8"/>
        <v>100.00000000000001</v>
      </c>
      <c r="BR17" s="9">
        <f t="shared" si="8"/>
        <v>100</v>
      </c>
      <c r="BS17" s="9">
        <f t="shared" si="8"/>
        <v>100.00000000000001</v>
      </c>
      <c r="BT17" s="9">
        <f t="shared" si="8"/>
        <v>100</v>
      </c>
      <c r="BU17" s="9">
        <f t="shared" si="8"/>
        <v>99.999999999999986</v>
      </c>
      <c r="BV17" s="9">
        <f t="shared" si="8"/>
        <v>100</v>
      </c>
      <c r="BW17" s="9">
        <f t="shared" si="8"/>
        <v>100</v>
      </c>
      <c r="BX17" s="9">
        <f t="shared" si="8"/>
        <v>100</v>
      </c>
      <c r="BY17" s="9">
        <f t="shared" si="8"/>
        <v>100.00000000000001</v>
      </c>
      <c r="BZ17" s="9">
        <f t="shared" si="8"/>
        <v>100</v>
      </c>
      <c r="CA17" s="9">
        <f t="shared" si="8"/>
        <v>100</v>
      </c>
      <c r="CB17" s="9">
        <f t="shared" si="8"/>
        <v>100</v>
      </c>
      <c r="CC17" s="9">
        <f t="shared" si="8"/>
        <v>99.999999999999986</v>
      </c>
      <c r="CD17" s="9">
        <f t="shared" si="8"/>
        <v>100</v>
      </c>
      <c r="CE17" s="9">
        <f t="shared" si="8"/>
        <v>100</v>
      </c>
      <c r="CF17" s="9">
        <f t="shared" si="8"/>
        <v>100</v>
      </c>
      <c r="CG17" s="9">
        <f t="shared" si="8"/>
        <v>100.00000000000003</v>
      </c>
      <c r="CH17" s="9">
        <f t="shared" si="8"/>
        <v>99.999999999999986</v>
      </c>
      <c r="CI17" s="9">
        <f t="shared" si="8"/>
        <v>100</v>
      </c>
      <c r="CJ17" s="9">
        <f t="shared" si="8"/>
        <v>100.00000000000001</v>
      </c>
      <c r="CK17" s="9">
        <f t="shared" si="8"/>
        <v>100</v>
      </c>
      <c r="CL17" s="9">
        <f t="shared" si="8"/>
        <v>100</v>
      </c>
      <c r="CM17" s="9">
        <f t="shared" si="8"/>
        <v>100</v>
      </c>
      <c r="CN17" s="9">
        <f t="shared" si="8"/>
        <v>99.999999999999986</v>
      </c>
      <c r="CO17" s="9">
        <f t="shared" si="8"/>
        <v>100</v>
      </c>
      <c r="CP17" s="9">
        <f t="shared" si="8"/>
        <v>100</v>
      </c>
      <c r="CQ17" s="9">
        <f t="shared" si="8"/>
        <v>100</v>
      </c>
      <c r="CR17" s="9">
        <f t="shared" si="8"/>
        <v>99.999999999999986</v>
      </c>
      <c r="CS17" s="9">
        <f t="shared" si="8"/>
        <v>100</v>
      </c>
      <c r="CT17" s="9">
        <f t="shared" si="8"/>
        <v>100</v>
      </c>
      <c r="CU17" s="9">
        <f t="shared" ref="CU17:DV17" si="9">+CU6+CU16</f>
        <v>99.999999999999986</v>
      </c>
      <c r="CV17" s="9">
        <f t="shared" si="9"/>
        <v>99.999999999999986</v>
      </c>
      <c r="CW17" s="9">
        <f t="shared" si="9"/>
        <v>100</v>
      </c>
      <c r="CX17" s="9">
        <f t="shared" si="9"/>
        <v>100</v>
      </c>
      <c r="CY17" s="9">
        <f t="shared" si="9"/>
        <v>100</v>
      </c>
      <c r="CZ17" s="9">
        <f t="shared" si="9"/>
        <v>100</v>
      </c>
      <c r="DA17" s="9">
        <f t="shared" si="9"/>
        <v>100</v>
      </c>
      <c r="DB17" s="9">
        <f t="shared" si="9"/>
        <v>100</v>
      </c>
      <c r="DC17" s="9">
        <f t="shared" si="9"/>
        <v>100</v>
      </c>
      <c r="DD17" s="9">
        <f t="shared" si="9"/>
        <v>100</v>
      </c>
      <c r="DE17" s="9">
        <f t="shared" si="9"/>
        <v>99.999999999999986</v>
      </c>
      <c r="DF17" s="9">
        <f t="shared" si="9"/>
        <v>99.999999999999986</v>
      </c>
      <c r="DG17" s="9">
        <f t="shared" si="9"/>
        <v>100</v>
      </c>
      <c r="DH17" s="9">
        <f t="shared" si="9"/>
        <v>100</v>
      </c>
      <c r="DI17" s="9">
        <f t="shared" si="9"/>
        <v>100</v>
      </c>
      <c r="DJ17" s="9">
        <f t="shared" si="9"/>
        <v>100</v>
      </c>
      <c r="DK17" s="9">
        <f t="shared" si="9"/>
        <v>100</v>
      </c>
      <c r="DL17" s="9">
        <f t="shared" si="9"/>
        <v>100.00000000000001</v>
      </c>
      <c r="DM17" s="9">
        <f t="shared" si="9"/>
        <v>100</v>
      </c>
      <c r="DN17" s="9">
        <f t="shared" si="9"/>
        <v>99.999999999999986</v>
      </c>
      <c r="DO17" s="9">
        <f t="shared" si="9"/>
        <v>100.00000000000001</v>
      </c>
      <c r="DP17" s="9">
        <f t="shared" si="9"/>
        <v>100</v>
      </c>
      <c r="DQ17" s="9">
        <f t="shared" si="9"/>
        <v>100</v>
      </c>
      <c r="DR17" s="9">
        <f t="shared" si="9"/>
        <v>100</v>
      </c>
      <c r="DS17" s="9">
        <f t="shared" si="9"/>
        <v>100.00000000000001</v>
      </c>
      <c r="DT17" s="9">
        <f t="shared" si="9"/>
        <v>100</v>
      </c>
      <c r="DU17" s="9">
        <f t="shared" si="9"/>
        <v>100</v>
      </c>
      <c r="DV17" s="10">
        <f t="shared" si="9"/>
        <v>100</v>
      </c>
    </row>
    <row r="19" spans="1:126" x14ac:dyDescent="0.3"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126" x14ac:dyDescent="0.3"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126" x14ac:dyDescent="0.3"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126" x14ac:dyDescent="0.3"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4" spans="1:126" x14ac:dyDescent="0.3"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126" x14ac:dyDescent="0.3"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126" x14ac:dyDescent="0.3"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126" x14ac:dyDescent="0.3"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126" x14ac:dyDescent="0.3"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126" x14ac:dyDescent="0.3"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126" x14ac:dyDescent="0.3"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126" x14ac:dyDescent="0.3"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126" x14ac:dyDescent="0.3"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</sheetData>
  <mergeCells count="5">
    <mergeCell ref="A17:B17"/>
    <mergeCell ref="A2:A5"/>
    <mergeCell ref="A6:B6"/>
    <mergeCell ref="A7:A15"/>
    <mergeCell ref="A16:B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자가소모</vt:lpstr>
      <vt:lpstr>구성비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2026-06-11T00:39:52Z</dcterms:created>
  <dcterms:modified xsi:type="dcterms:W3CDTF">2026-08-11T06:27:17Z</dcterms:modified>
</cp:coreProperties>
</file>